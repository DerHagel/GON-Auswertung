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Mitarbeiterstamm" sheetId="2" state="visible" r:id="rId4"/>
    <sheet name="Arbeitszeitmodelle" sheetId="3" state="visible" r:id="rId5"/>
    <sheet name="Parameter" sheetId="4" state="visible" r:id="rId6"/>
    <sheet name="Listen" sheetId="5" state="visible" r:id="rId7"/>
    <sheet name="Feldbeschreibung" sheetId="6" state="visible" r:id="rId8"/>
  </sheets>
  <definedNames>
    <definedName function="false" hidden="false" localSheetId="1" name="_xlnm.Print_Titles" vbProcedure="false">Mitarbeiterstamm!$3:$4</definedName>
    <definedName function="false" hidden="true" localSheetId="1" name="_xlnm._FilterDatabase" vbProcedure="false">Mitarbeiterstamm!$A$4:$BH$304</definedName>
    <definedName function="false" hidden="false" name="P_MaxWoche" vbProcedure="false">Parameter!$B$15</definedName>
    <definedName function="false" hidden="false" name="P_MaxWocheJugend" vbProcedure="false">Parameter!$B$17</definedName>
    <definedName function="false" hidden="false" name="P_Mindestlohn" vbProcedure="false">Parameter!$B$9</definedName>
    <definedName function="false" hidden="false" name="P_Minijob" vbProcedure="false">Parameter!$B$10</definedName>
    <definedName function="false" hidden="false" name="P_MinUrlaubWerktage" vbProcedure="false">Parameter!$B$11</definedName>
    <definedName function="false" hidden="false" name="P_Stichtag" vbProcedure="false">Parameter!$B$6</definedName>
    <definedName function="false" hidden="false" name="P_ZusatzSB" vbProcedure="false">Parameter!$B$12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Pflicht: Eindeutige Personalnummer; Schlüssel für Zeitbuchungen, Abwesenheiten und Auswertungen. Nie neu vergeben.</t>
        </r>
      </text>
    </comment>
    <comment ref="B4" authorId="0">
      <text>
        <r>
          <rPr>
            <sz val="10"/>
            <rFont val="Arial"/>
            <family val="2"/>
          </rPr>
          <t xml:space="preserve">Pflicht: Familienname laut Ausweis/Arbeitsvertrag.</t>
        </r>
      </text>
    </comment>
    <comment ref="C4" authorId="0">
      <text>
        <r>
          <rPr>
            <sz val="10"/>
            <rFont val="Arial"/>
            <family val="2"/>
          </rPr>
          <t xml:space="preserve">Pflicht: Rufname laut Arbeitsvertrag.</t>
        </r>
      </text>
    </comment>
    <comment ref="D4" authorId="0">
      <text>
        <r>
          <rPr>
            <sz val="10"/>
            <rFont val="Arial"/>
            <family val="2"/>
          </rPr>
          <t xml:space="preserve">Optional: Für Schriftverkehr (Zeitnachweise, Benachrichtigungen).</t>
        </r>
      </text>
    </comment>
    <comment ref="E4" authorId="0">
      <text>
        <r>
          <rPr>
            <sz val="10"/>
            <rFont val="Arial"/>
            <family val="2"/>
          </rPr>
          <t xml:space="preserve">Optional: Akademischer Grad, z. B. Dr.</t>
        </r>
      </text>
    </comment>
    <comment ref="F4" authorId="0">
      <text>
        <r>
          <rPr>
            <sz val="10"/>
            <rFont val="Arial"/>
            <family val="2"/>
          </rPr>
          <t xml:space="preserve">Pflicht: Zur Altersprüfung (Jugendarbeitsschutz &lt; 18 Jahre: max. 8 h/Tag, 40 h/Woche).</t>
        </r>
      </text>
    </comment>
    <comment ref="G4" authorId="0">
      <text>
        <r>
          <rPr>
            <sz val="10"/>
            <rFont val="Arial"/>
            <family val="2"/>
          </rPr>
          <t xml:space="preserve">Optional: Nach AGG-konformer Erfassung; für Statistik, nicht für die Zeiterfassung zwingend.</t>
        </r>
      </text>
    </comment>
    <comment ref="H4" authorId="0">
      <text>
        <r>
          <rPr>
            <sz val="10"/>
            <rFont val="Arial"/>
            <family val="2"/>
          </rPr>
          <t xml:space="preserve">Optional: Wohnanschrift.</t>
        </r>
      </text>
    </comment>
    <comment ref="I4" authorId="0">
      <text>
        <r>
          <rPr>
            <sz val="10"/>
            <rFont val="Arial"/>
            <family val="2"/>
          </rPr>
          <t xml:space="preserve">Optional: Postleitzahl (als Text, führende Null bleibt erhalten).</t>
        </r>
      </text>
    </comment>
    <comment ref="J4" authorId="0">
      <text>
        <r>
          <rPr>
            <sz val="10"/>
            <rFont val="Arial"/>
            <family val="2"/>
          </rPr>
          <t xml:space="preserve">Optional: Wohnort.</t>
        </r>
      </text>
    </comment>
    <comment ref="K4" authorId="0">
      <text>
        <r>
          <rPr>
            <sz val="10"/>
            <rFont val="Arial"/>
            <family val="2"/>
          </rPr>
          <t xml:space="preserve">Optional: Dienstliche E-Mail für Erinnerungen/Freigaben in der Zeiterfassung.</t>
        </r>
      </text>
    </comment>
    <comment ref="L4" authorId="0">
      <text>
        <r>
          <rPr>
            <sz val="10"/>
            <rFont val="Arial"/>
            <family val="2"/>
          </rPr>
          <t xml:space="preserve">Optional: Telefon für Rückfragen.</t>
        </r>
      </text>
    </comment>
    <comment ref="M4" authorId="0">
      <text>
        <r>
          <rPr>
            <sz val="10"/>
            <rFont val="Arial"/>
            <family val="2"/>
          </rPr>
          <t xml:space="preserve">Pflicht: Schwerbehinderte: 5 Tage Zusatzurlaub (SGB IX § 208) und Befreiung von Mehrarbeit auf Verlangen (§ 207). Nachweis liegt der Personalakte bei.</t>
        </r>
      </text>
    </comment>
    <comment ref="N4" authorId="0">
      <text>
        <r>
          <rPr>
            <sz val="10"/>
            <rFont val="Arial"/>
            <family val="2"/>
          </rPr>
          <t xml:space="preserve">Pflicht: Beginn des Arbeitsverhältnisses; Starttermin für Zeitkonto und anteiligen Urlaub.</t>
        </r>
      </text>
    </comment>
    <comment ref="O4" authorId="0">
      <text>
        <r>
          <rPr>
            <sz val="10"/>
            <rFont val="Arial"/>
            <family val="2"/>
          </rPr>
          <t xml:space="preserve">Bedingt: Ende des Arbeitsverhältnisses (auch bei Kündigung bereits eintragbar). Leer = unbefristet laufend.</t>
        </r>
      </text>
    </comment>
    <comment ref="P4" authorId="0">
      <text>
        <r>
          <rPr>
            <sz val="10"/>
            <rFont val="Arial"/>
            <family val="2"/>
          </rPr>
          <t xml:space="preserve">Pflicht: Aktiv = wird erfasst. Ruhend = z. B. Elternzeit, keine Sollzeit. Ausgeschieden = nur Archiv (Aufbewahrungsfrist beachten).</t>
        </r>
      </text>
    </comment>
    <comment ref="Q4" authorId="0">
      <text>
        <r>
          <rPr>
            <sz val="10"/>
            <rFont val="Arial"/>
            <family val="2"/>
          </rPr>
          <t xml:space="preserve">Pflicht: Steuert Prüfregeln (Minijob-Grenze, Mindestlohn, Ausbildung) und Auswertungen.</t>
        </r>
      </text>
    </comment>
    <comment ref="R4" authorId="0">
      <text>
        <r>
          <rPr>
            <sz val="10"/>
            <rFont val="Arial"/>
            <family val="2"/>
          </rPr>
          <t xml:space="preserve">Pflicht: Befristung nach TzBfG.</t>
        </r>
      </text>
    </comment>
    <comment ref="S4" authorId="0">
      <text>
        <r>
          <rPr>
            <sz val="10"/>
            <rFont val="Arial"/>
            <family val="2"/>
          </rPr>
          <t xml:space="preserve">Bedingt: Enddatum der Befristung; Pflicht, wenn „Befristet“ = Ja.</t>
        </r>
      </text>
    </comment>
    <comment ref="T4" authorId="0">
      <text>
        <r>
          <rPr>
            <sz val="10"/>
            <rFont val="Arial"/>
            <family val="2"/>
          </rPr>
          <t xml:space="preserve">Optional: Ende der Probezeit (Kündigungsfristen, Urlaubsanspruch).</t>
        </r>
      </text>
    </comment>
    <comment ref="U4" authorId="0">
      <text>
        <r>
          <rPr>
            <sz val="10"/>
            <rFont val="Arial"/>
            <family val="2"/>
          </rPr>
          <t xml:space="preserve">Optional: Stellenbezeichnung laut Arbeitsvertrag.</t>
        </r>
      </text>
    </comment>
    <comment ref="V4" authorId="0">
      <text>
        <r>
          <rPr>
            <sz val="10"/>
            <rFont val="Arial"/>
            <family val="2"/>
          </rPr>
          <t xml:space="preserve">Pflicht: Organisationseinheit; Liste im Blatt „Listen“ anpassbar.</t>
        </r>
      </text>
    </comment>
    <comment ref="W4" authorId="0">
      <text>
        <r>
          <rPr>
            <sz val="10"/>
            <rFont val="Arial"/>
            <family val="2"/>
          </rPr>
          <t xml:space="preserve">Optional: Kostenstelle für Zeit- und Kostenzuordnung.</t>
        </r>
      </text>
    </comment>
    <comment ref="X4" authorId="0">
      <text>
        <r>
          <rPr>
            <sz val="10"/>
            <rFont val="Arial"/>
            <family val="2"/>
          </rPr>
          <t xml:space="preserve">Pflicht: Arbeitsort/Betriebsstätte.</t>
        </r>
      </text>
    </comment>
    <comment ref="Y4" authorId="0">
      <text>
        <r>
          <rPr>
            <sz val="10"/>
            <rFont val="Arial"/>
            <family val="2"/>
          </rPr>
          <t xml:space="preserve">Pflicht: Bestimmt die gesetzlichen Feiertage (Sollzeit-Berechnung) – maßgeblich ist der Arbeitsort, nicht der Wohnort.</t>
        </r>
      </text>
    </comment>
    <comment ref="Z4" authorId="0">
      <text>
        <r>
          <rPr>
            <sz val="10"/>
            <rFont val="Arial"/>
            <family val="2"/>
          </rPr>
          <t xml:space="preserve">Optional: Personalnummer der Führungskraft; Freigabe von Zeiten/Urlaub.</t>
        </r>
      </text>
    </comment>
    <comment ref="AA4" authorId="0">
      <text>
        <r>
          <rPr>
            <sz val="10"/>
            <rFont val="Arial"/>
            <family val="2"/>
          </rPr>
          <t xml:space="preserve">Optional: Anwendbarer Tarifvertrag bzw. BV zur Arbeitszeit (Mitbestimmung § 87 Abs. 1 Nr. 2 BetrVG).</t>
        </r>
      </text>
    </comment>
    <comment ref="AB4" authorId="0">
      <text>
        <r>
          <rPr>
            <sz val="10"/>
            <rFont val="Arial"/>
            <family val="2"/>
          </rPr>
          <t xml:space="preserve">Pflicht: ID aus Blatt „Arbeitszeitmodelle“ (Soll je Wochentag, Rahmen-/Kernzeit, Pause).</t>
        </r>
      </text>
    </comment>
    <comment ref="AC4" authorId="0">
      <text>
        <r>
          <rPr>
            <sz val="10"/>
            <rFont val="Arial"/>
            <family val="2"/>
          </rPr>
          <t xml:space="preserve">Pflicht: Wöchentliche Arbeitszeit laut Arbeitsvertrag (Stunden, Dezimal, z. B. 38,5).</t>
        </r>
      </text>
    </comment>
    <comment ref="AD4" authorId="0">
      <text>
        <r>
          <rPr>
            <sz val="10"/>
            <rFont val="Arial"/>
            <family val="2"/>
          </rPr>
          <t xml:space="preserve">Pflicht: Vertragliche Verteilung auf Tage (Basis für Urlaubsumrechnung).</t>
        </r>
      </text>
    </comment>
    <comment ref="AE4" authorId="0">
      <text>
        <r>
          <rPr>
            <sz val="10"/>
            <rFont val="Arial"/>
            <family val="2"/>
          </rPr>
          <t xml:space="preserve">Berechnet: Wochenstunden ÷ Arbeitstage; Orientierungswert. Exakte Tagesvorgaben stehen im Arbeitszeitmodell.</t>
        </r>
      </text>
    </comment>
    <comment ref="AF4" authorId="0">
      <text>
        <r>
          <rPr>
            <sz val="10"/>
            <rFont val="Arial"/>
            <family val="2"/>
          </rPr>
          <t xml:space="preserve">Berechnet: Wochenstunden des gewählten Modells zum Abgleich mit dem Vertrag.</t>
        </r>
      </text>
    </comment>
    <comment ref="AG4" authorId="0">
      <text>
        <r>
          <rPr>
            <sz val="10"/>
            <rFont val="Arial"/>
            <family val="2"/>
          </rPr>
          <t xml:space="preserve">Pflicht: Wie Arbeitszeit erfasst wird (Pflicht zur Erfassung: BAG 13.09.2022 – 1 ABR 22/21, § 3 Abs. 2 Nr. 1 ArbZG).</t>
        </r>
      </text>
    </comment>
    <comment ref="AH4" authorId="0">
      <text>
        <r>
          <rPr>
            <sz val="10"/>
            <rFont val="Arial"/>
            <family val="2"/>
          </rPr>
          <t xml:space="preserve">Pflicht: Flexible Lage der Arbeitszeit innerhalb der Rahmenarbeitszeit.</t>
        </r>
      </text>
    </comment>
    <comment ref="AI4" authorId="0">
      <text>
        <r>
          <rPr>
            <sz val="10"/>
            <rFont val="Arial"/>
            <family val="2"/>
          </rPr>
          <t xml:space="preserve">Pflicht: Führung eines Zeitkontos (Plus-/Minusstunden).</t>
        </r>
      </text>
    </comment>
    <comment ref="AJ4" authorId="0">
      <text>
        <r>
          <rPr>
            <sz val="10"/>
            <rFont val="Arial"/>
            <family val="2"/>
          </rPr>
          <t xml:space="preserve">Bedingt: Obergrenze Zeitguthaben lt. Vereinbarung.</t>
        </r>
      </text>
    </comment>
    <comment ref="AK4" authorId="0">
      <text>
        <r>
          <rPr>
            <sz val="10"/>
            <rFont val="Arial"/>
            <family val="2"/>
          </rPr>
          <t xml:space="preserve">Bedingt: Maximal zulässiges Zeitdefizit (als positive Zahl).</t>
        </r>
      </text>
    </comment>
    <comment ref="AL4" authorId="0">
      <text>
        <r>
          <rPr>
            <sz val="10"/>
            <rFont val="Arial"/>
            <family val="2"/>
          </rPr>
          <t xml:space="preserve">Pflicht: Vergütung/Ausgleich von Mehrarbeit lt. Arbeitsvertrag.</t>
        </r>
      </text>
    </comment>
    <comment ref="AM4" authorId="0">
      <text>
        <r>
          <rPr>
            <sz val="10"/>
            <rFont val="Arial"/>
            <family val="2"/>
          </rPr>
          <t xml:space="preserve">Bedingt: Nur bei „Mit Gehalt abgegolten“: Umfang der abgegoltenen Überstunden (Wirksamkeit der Klausel prüfen).</t>
        </r>
      </text>
    </comment>
    <comment ref="AN4" authorId="0">
      <text>
        <r>
          <rPr>
            <sz val="10"/>
            <rFont val="Arial"/>
            <family val="2"/>
          </rPr>
          <t xml:space="preserve">Pflicht: Regelmäßig ≥ 48 Nächte/Jahr zwischen 23 und 6 Uhr (§ 2 Abs. 5 ArbZG) – arbeitsmedizinische Untersuchung, Höchstarbeitszeit.</t>
        </r>
      </text>
    </comment>
    <comment ref="AO4" authorId="0">
      <text>
        <r>
          <rPr>
            <sz val="10"/>
            <rFont val="Arial"/>
            <family val="2"/>
          </rPr>
          <t xml:space="preserve">Pflicht: Schichtdienst; Schichtplan statt fester Sollzeit.</t>
        </r>
      </text>
    </comment>
    <comment ref="AP4" authorId="0">
      <text>
        <r>
          <rPr>
            <sz val="10"/>
            <rFont val="Arial"/>
            <family val="2"/>
          </rPr>
          <t xml:space="preserve">Pflicht: Regelmäßige Arbeit an Sonn-/Feiertagen (Ausnahme nach § 10 ArbZG, Ersatzruhetag).</t>
        </r>
      </text>
    </comment>
    <comment ref="AQ4" authorId="0">
      <text>
        <r>
          <rPr>
            <sz val="10"/>
            <rFont val="Arial"/>
            <family val="2"/>
          </rPr>
          <t xml:space="preserve">Pflicht: Rufbereitschaft zählt i. d. R. nicht, Bereitschaftsdienst zählt als Arbeitszeit.</t>
        </r>
      </text>
    </comment>
    <comment ref="AR4" authorId="0">
      <text>
        <r>
          <rPr>
            <sz val="10"/>
            <rFont val="Arial"/>
            <family val="2"/>
          </rPr>
          <t xml:space="preserve">Optional: Vereinbarte Homeoffice-Tage; Erfassung auch hier erforderlich.</t>
        </r>
      </text>
    </comment>
    <comment ref="AS4" authorId="0">
      <text>
        <r>
          <rPr>
            <sz val="10"/>
            <rFont val="Arial"/>
            <family val="2"/>
          </rPr>
          <t xml:space="preserve">Optional: Übernahmesaldo zum Startdatum (negativ = Minus). Ohne Altsaldo 0.</t>
        </r>
      </text>
    </comment>
    <comment ref="AT4" authorId="0">
      <text>
        <r>
          <rPr>
            <sz val="10"/>
            <rFont val="Arial"/>
            <family val="2"/>
          </rPr>
          <t xml:space="preserve">Optional: Stichtag des Übernahmesaldos = Beginn der digitalen Zeiterfassung.</t>
        </r>
      </text>
    </comment>
    <comment ref="AU4" authorId="0">
      <text>
        <r>
          <rPr>
            <sz val="10"/>
            <rFont val="Arial"/>
            <family val="2"/>
          </rPr>
          <t xml:space="preserve">Pflicht: Jahresurlaub in Arbeitstagen lt. Vertrag (inkl. gesetzlichem Mindesturlaub).</t>
        </r>
      </text>
    </comment>
    <comment ref="AV4" authorId="0">
      <text>
        <r>
          <rPr>
            <sz val="10"/>
            <rFont val="Arial"/>
            <family val="2"/>
          </rPr>
          <t xml:space="preserve">Berechnet: 24 Werktage bei 6-Tage-Woche ⇒ 4 × Arbeitstage/Woche (§ 3 BUrlG).</t>
        </r>
      </text>
    </comment>
    <comment ref="AW4" authorId="0">
      <text>
        <r>
          <rPr>
            <sz val="10"/>
            <rFont val="Arial"/>
            <family val="2"/>
          </rPr>
          <t xml:space="preserve">Berechnet: 5 Arbeitstage bei 5-Tage-Woche, umgerechnet auf Arbeitstage/Woche (§ 208 SGB IX).</t>
        </r>
      </text>
    </comment>
    <comment ref="AX4" authorId="0">
      <text>
        <r>
          <rPr>
            <sz val="10"/>
            <rFont val="Arial"/>
            <family val="2"/>
          </rPr>
          <t xml:space="preserve">Optional: Übertrag aus dem Vorjahr zum Startzeitpunkt.</t>
        </r>
      </text>
    </comment>
    <comment ref="AY4" authorId="0">
      <text>
        <r>
          <rPr>
            <sz val="10"/>
            <rFont val="Arial"/>
            <family val="2"/>
          </rPr>
          <t xml:space="preserve">Optional: Verfallsdatum des Übertrags (üblich 31.03.; Hinweispflicht des Arbeitgebers beachten).</t>
        </r>
      </text>
    </comment>
    <comment ref="AZ4" authorId="0">
      <text>
        <r>
          <rPr>
            <sz val="10"/>
            <rFont val="Arial"/>
            <family val="2"/>
          </rPr>
          <t xml:space="preserve">Berechnet: Vertragsurlaub + Zusatzurlaub + Resturlaub.</t>
        </r>
      </text>
    </comment>
    <comment ref="BA4" authorId="0">
      <text>
        <r>
          <rPr>
            <sz val="10"/>
            <rFont val="Arial"/>
            <family val="2"/>
          </rPr>
          <t xml:space="preserve">Pflicht: Monatsgehalt oder Stundenlohn; Basis für die Mindestlohnprüfung.</t>
        </r>
      </text>
    </comment>
    <comment ref="BB4" authorId="0">
      <text>
        <r>
          <rPr>
            <sz val="10"/>
            <rFont val="Arial"/>
            <family val="2"/>
          </rPr>
          <t xml:space="preserve">Bedingt: Vereinbartes Monatsentgelt brutto bei Monatsgehalt.</t>
        </r>
      </text>
    </comment>
    <comment ref="BC4" authorId="0">
      <text>
        <r>
          <rPr>
            <sz val="10"/>
            <rFont val="Arial"/>
            <family val="2"/>
          </rPr>
          <t xml:space="preserve">Bedingt: Vereinbarter Stundenlohn brutto bei Entgeltart Stundenlohn.</t>
        </r>
      </text>
    </comment>
    <comment ref="BD4" authorId="0">
      <text>
        <r>
          <rPr>
            <sz val="10"/>
            <rFont val="Arial"/>
            <family val="2"/>
          </rPr>
          <t xml:space="preserve">Berechnet: Bei Monatsgehalt: Brutto × 12 ÷ (Wochenstunden × 52).</t>
        </r>
      </text>
    </comment>
    <comment ref="BE4" authorId="0">
      <text>
        <r>
          <rPr>
            <sz val="10"/>
            <rFont val="Arial"/>
            <family val="2"/>
          </rPr>
          <t xml:space="preserve">Berechnet: Alter zum Stichtag (Blatt „Parameter“).</t>
        </r>
      </text>
    </comment>
    <comment ref="BF4" authorId="0">
      <text>
        <r>
          <rPr>
            <sz val="10"/>
            <rFont val="Arial"/>
            <family val="2"/>
          </rPr>
          <t xml:space="preserve">Berechnet: Ja ⇒ Jugendarbeitsschutzgesetz (Höchstarbeitszeit, Pausen, Nachtruhe).</t>
        </r>
      </text>
    </comment>
    <comment ref="BG4" authorId="0">
      <text>
        <r>
          <rPr>
            <sz val="10"/>
            <rFont val="Arial"/>
            <family val="2"/>
          </rPr>
          <t xml:space="preserve">Berechnet: Sammelhinweis auf fehlende Pflichtfelder und Regelverstöße; „OK“ = keine Auffälligkeit.</t>
        </r>
      </text>
    </comment>
    <comment ref="BH4" authorId="0">
      <text>
        <r>
          <rPr>
            <sz val="10"/>
            <rFont val="Arial"/>
            <family val="2"/>
          </rPr>
          <t xml:space="preserve">Optional: Freitext, z. B. Besonderheiten der Vereinbarung. Keine Gesundheitsdaten eintragen.</t>
        </r>
      </text>
    </comment>
  </commentList>
</comments>
</file>

<file path=xl/sharedStrings.xml><?xml version="1.0" encoding="utf-8"?>
<sst xmlns="http://schemas.openxmlformats.org/spreadsheetml/2006/main" count="697" uniqueCount="435">
  <si>
    <t xml:space="preserve">Stammdatenvorlage Arbeitszeiterfassung</t>
  </si>
  <si>
    <t xml:space="preserve">Vorbereitung der systematischen Arbeitszeiterfassung für Mitarbeiter einer GmbH in Deutschland</t>
  </si>
  <si>
    <t xml:space="preserve">Zweck</t>
  </si>
  <si>
    <t xml:space="preserve">Strukturierte, einmalige Erfassung der Personal- und Vertragsstammdaten, die für Sollzeitberechnung, Zeitkonto, Urlaub und gesetzliche Prüfungen (ArbZG, MiLoG, BUrlG, JArbSchG) benötigt werden. Die Datei dient als Datenbasis für die spätere Erfassung der Ist-Zeiten bzw. den Import in ein Zeiterfassungssystem.</t>
  </si>
  <si>
    <t xml:space="preserve">Blätter</t>
  </si>
  <si>
    <t xml:space="preserve">Mitarbeiterstamm</t>
  </si>
  <si>
    <t xml:space="preserve">Hauptblatt: eine Zeile je Mitarbeiter (bis 300). Eingabe, automatische Berechnungen und Plausibilitätsprüfung.</t>
  </si>
  <si>
    <t xml:space="preserve">Arbeitszeitmodelle</t>
  </si>
  <si>
    <t xml:space="preserve">Stammdaten der Modelle: Soll je Wochentag, Rahmen-/Kernzeit, Gleitzeit, Pausen. Wird im Stammblatt per ID zugeordnet.</t>
  </si>
  <si>
    <t xml:space="preserve">Parameter</t>
  </si>
  <si>
    <t xml:space="preserve">Firmenname, Stichtag und gesetzliche Grenzwerte (Mindestlohn, Minijob, Urlaub, ArbZG) – jährlich prüfen.</t>
  </si>
  <si>
    <t xml:space="preserve">Listen</t>
  </si>
  <si>
    <t xml:space="preserve">Auswahllisten für Dropdowns. Abteilungen und Standorte können in den farbigen Leerzeilen ergänzt werden.</t>
  </si>
  <si>
    <t xml:space="preserve">Feldbeschreibung</t>
  </si>
  <si>
    <t xml:space="preserve">Datenwörterbuch: Bedeutung, Format und Pflichtstatus jedes Feldes.</t>
  </si>
  <si>
    <t xml:space="preserve">Farblegende</t>
  </si>
  <si>
    <t xml:space="preserve">Blaue Schrift</t>
  </si>
  <si>
    <t xml:space="preserve">Eingabefeld – hier tragen Sie Daten ein.</t>
  </si>
  <si>
    <t xml:space="preserve">Graue Zelle</t>
  </si>
  <si>
    <t xml:space="preserve">Berechnetes Feld (Formel) – nicht überschreiben.</t>
  </si>
  <si>
    <t xml:space="preserve">Gelbe Zelle (Stamm)</t>
  </si>
  <si>
    <t xml:space="preserve">Pflichtfeld in einer bereits begonnenen Zeile ist noch leer.</t>
  </si>
  <si>
    <t xml:space="preserve">Plausibilität rot/grün</t>
  </si>
  <si>
    <t xml:space="preserve">Rot = Hinweis auf Fehler/Auffälligkeit (Text nennt den Grund), grün = „OK“.</t>
  </si>
  <si>
    <t xml:space="preserve">Vorgehen in 6 Schritten</t>
  </si>
  <si>
    <t xml:space="preserve">1  Parameter</t>
  </si>
  <si>
    <t xml:space="preserve">Firmenname eintragen, gesetzliche Werte auf Aktualität prüfen.</t>
  </si>
  <si>
    <t xml:space="preserve">2  Listen</t>
  </si>
  <si>
    <t xml:space="preserve">Abteilungen und Standorte Ihres Unternehmens ergänzen bzw. Beispiele ersetzen.</t>
  </si>
  <si>
    <t xml:space="preserve">3  Arbeitszeitmodelle</t>
  </si>
  <si>
    <t xml:space="preserve">Vorschläge an Ihre Regelungen anpassen, fehlende Modelle ergänzen (Sollstunden je Wochentag).</t>
  </si>
  <si>
    <t xml:space="preserve">4  Mitarbeiterstamm</t>
  </si>
  <si>
    <t xml:space="preserve">Beispielzeile 5 überschreiben, danach je Mitarbeiter eine Zeile. Zuerst Pflichtfelder, dann optionale Felder.</t>
  </si>
  <si>
    <t xml:space="preserve">5  Prüfen</t>
  </si>
  <si>
    <t xml:space="preserve">Spalte „Plausibilität“ filtern (Filter ≠ „OK“) und alle Hinweise abarbeiten.</t>
  </si>
  <si>
    <t xml:space="preserve">6  Freigeben</t>
  </si>
  <si>
    <t xml:space="preserve">Personalabteilung/Geschäftsführung prüft; ggf. Abstimmung mit Betriebsrat; Datei geschützt ablegen.</t>
  </si>
  <si>
    <t xml:space="preserve">Rechtlicher Rahmen (Hinweise)</t>
  </si>
  <si>
    <t xml:space="preserve">Pflicht zur Zeiterfassung</t>
  </si>
  <si>
    <t xml:space="preserve">BAG-Beschluss vom 13.09.2022 (1 ABR 22/21): Arbeitgeber müssen ein System zur Erfassung der Arbeitszeit einführen (§ 3 Abs. 2 Nr. 1 ArbZG). Beginn, Ende und Dauer der täglichen Arbeitszeit sind zu erfassen; die Details einer gesetzlichen Neuregelung sind zu beobachten.</t>
  </si>
  <si>
    <t xml:space="preserve">Aufzeichnung &amp; Aufbewahrung</t>
  </si>
  <si>
    <t xml:space="preserve">Überstunden-/Mehrarbeitsnachweise bei Überschreitung von 8 h/Tag (§ 16 Abs. 2 ArbZG) und Mindestlohn-Aufzeichnung (§ 17 MiLoG) sind mindestens 2 Jahre aufzubewahren; Lohn-/Steuerunterlagen unterliegen längeren Fristen.</t>
  </si>
  <si>
    <t xml:space="preserve">Mitbestimmung</t>
  </si>
  <si>
    <t xml:space="preserve">Bei bestehendem Betriebsrat ist die Einführung technischer Zeiterfassung mitbestimmungspflichtig (§ 87 Abs. 1 Nr. 1, 2 und 6 BetrVG).</t>
  </si>
  <si>
    <t xml:space="preserve">Datenschutz</t>
  </si>
  <si>
    <t xml:space="preserve">Beschäftigtendaten nur im erforderlichen Umfang (§ 26 BDSG, Art. 5 DSGVO). Keine Gesundheitsdaten (außer erforderlicher Schwerbehinderten-Angabe) und keine Religionszugehörigkeit erfassen. Zugriff beschränken, Datei verschlüsseln/passwortgeschützt speichern, Löschfristen definieren.</t>
  </si>
  <si>
    <t xml:space="preserve">Haftungsausschluss</t>
  </si>
  <si>
    <t xml:space="preserve">Die Vorlage ist eine fachliche Arbeitshilfe, keine Rechtsberatung. Prüfregeln bilden Standardfälle ab; Tarifverträge und Betriebsvereinbarungen können abweichen.</t>
  </si>
  <si>
    <t xml:space="preserve">Mitarbeiterstammdaten – Arbeitszeiterfassung</t>
  </si>
  <si>
    <t xml:space="preserve">Zeile 5 ist ein Beispiel (Max Mustermann) – überschreiben oder löschen. Eingabe: blau/weiß · berechnet: grau · Pflichtfelder: siehe Blatt „Feldbeschreibung“. Ab Zeile 5 bis Zeile 304 stehen Eingabe- und Prüfformeln bereit.</t>
  </si>
  <si>
    <t xml:space="preserve">PERSONALDATEN</t>
  </si>
  <si>
    <t xml:space="preserve">ARBEITSVERHÄLTNIS</t>
  </si>
  <si>
    <t xml:space="preserve">ARBEITSZEIT</t>
  </si>
  <si>
    <t xml:space="preserve">URLAUB</t>
  </si>
  <si>
    <t xml:space="preserve">ENTGELT (PRÜFUNG)</t>
  </si>
  <si>
    <t xml:space="preserve">AUTOMATISCHE PRÜFUNG</t>
  </si>
  <si>
    <t xml:space="preserve">Personal-Nr.</t>
  </si>
  <si>
    <t xml:space="preserve">Nachname</t>
  </si>
  <si>
    <t xml:space="preserve">Vorname</t>
  </si>
  <si>
    <t xml:space="preserve">Anrede</t>
  </si>
  <si>
    <t xml:space="preserve">Titel</t>
  </si>
  <si>
    <t xml:space="preserve">Geburtsdatum</t>
  </si>
  <si>
    <t xml:space="preserve">Geschlecht</t>
  </si>
  <si>
    <t xml:space="preserve">Straße, Hausnr.</t>
  </si>
  <si>
    <t xml:space="preserve">PLZ</t>
  </si>
  <si>
    <t xml:space="preserve">Wohnort</t>
  </si>
  <si>
    <t xml:space="preserve">E-Mail</t>
  </si>
  <si>
    <t xml:space="preserve">Telefon</t>
  </si>
  <si>
    <t xml:space="preserve">Schwerbehinderung / Gleichstellung</t>
  </si>
  <si>
    <t xml:space="preserve">Eintrittsdatum</t>
  </si>
  <si>
    <t xml:space="preserve">Austrittsdatum</t>
  </si>
  <si>
    <t xml:space="preserve">Status</t>
  </si>
  <si>
    <t xml:space="preserve">Beschäftigungsart</t>
  </si>
  <si>
    <t xml:space="preserve">Befristet?</t>
  </si>
  <si>
    <t xml:space="preserve">Befristet bis</t>
  </si>
  <si>
    <t xml:space="preserve">Probezeit bis</t>
  </si>
  <si>
    <t xml:space="preserve">Funktion / Stelle</t>
  </si>
  <si>
    <t xml:space="preserve">Abteilung</t>
  </si>
  <si>
    <t xml:space="preserve">Kostenstelle</t>
  </si>
  <si>
    <t xml:space="preserve">Standort</t>
  </si>
  <si>
    <t xml:space="preserve">Bundesland Arbeitsort</t>
  </si>
  <si>
    <t xml:space="preserve">Vorgesetzter (Personal-Nr.)</t>
  </si>
  <si>
    <t xml:space="preserve">Tarifvertrag / Betriebsvereinbarung</t>
  </si>
  <si>
    <t xml:space="preserve">Arbeitszeitmodell</t>
  </si>
  <si>
    <t xml:space="preserve">Vertragliche Wochenstunden</t>
  </si>
  <si>
    <t xml:space="preserve">Arbeitstage / Woche</t>
  </si>
  <si>
    <t xml:space="preserve">Ø Soll-Std. / Arbeitstag</t>
  </si>
  <si>
    <t xml:space="preserve">Wochenstd. lt. Modell</t>
  </si>
  <si>
    <t xml:space="preserve">Art der Zeiterfassung</t>
  </si>
  <si>
    <t xml:space="preserve">Gleitzeit?</t>
  </si>
  <si>
    <t xml:space="preserve">Arbeitszeitkonto?</t>
  </si>
  <si>
    <t xml:space="preserve">Konto max. Plus (Std.)</t>
  </si>
  <si>
    <t xml:space="preserve">Konto max. Minus (Std.)</t>
  </si>
  <si>
    <t xml:space="preserve">Überstundenregelung</t>
  </si>
  <si>
    <t xml:space="preserve">Pauschal abgegolten (Std./Monat)</t>
  </si>
  <si>
    <t xml:space="preserve">Nachtarbeitnehmer?</t>
  </si>
  <si>
    <t xml:space="preserve">Schichtarbeit?</t>
  </si>
  <si>
    <t xml:space="preserve">Sonn-/Feiertagsarbeit vorgesehen?</t>
  </si>
  <si>
    <t xml:space="preserve">Bereitschaft</t>
  </si>
  <si>
    <t xml:space="preserve">Mobiles Arbeiten (Tage/Woche)</t>
  </si>
  <si>
    <t xml:space="preserve">Startsaldo Zeitkonto (Std.)</t>
  </si>
  <si>
    <t xml:space="preserve">Startsaldo zum</t>
  </si>
  <si>
    <t xml:space="preserve">Urlaubstage / Jahr (vertraglich)</t>
  </si>
  <si>
    <t xml:space="preserve">Gesetzl. Mindesturlaub (Tage)</t>
  </si>
  <si>
    <t xml:space="preserve">Zusatzurlaub Schwerbeh. (Tage)</t>
  </si>
  <si>
    <t xml:space="preserve">Resturlaub Vorjahr (Tage)</t>
  </si>
  <si>
    <t xml:space="preserve">Resturlaub verfällt am</t>
  </si>
  <si>
    <t xml:space="preserve">Urlaubsanspruch gesamt (Tage)</t>
  </si>
  <si>
    <t xml:space="preserve">Entgeltart</t>
  </si>
  <si>
    <t xml:space="preserve">Brutto-Monatsentgelt (€)</t>
  </si>
  <si>
    <t xml:space="preserve">Stundenlohn (€)</t>
  </si>
  <si>
    <t xml:space="preserve">Effektiver Stundenlohn (€)</t>
  </si>
  <si>
    <t xml:space="preserve">Alter</t>
  </si>
  <si>
    <t xml:space="preserve">Jugendlich (&lt; 18)?</t>
  </si>
  <si>
    <t xml:space="preserve">Plausibilität</t>
  </si>
  <si>
    <t xml:space="preserve">Bemerkung</t>
  </si>
  <si>
    <t xml:space="preserve">1001</t>
  </si>
  <si>
    <t xml:space="preserve">Mustermann</t>
  </si>
  <si>
    <t xml:space="preserve">Max</t>
  </si>
  <si>
    <t xml:space="preserve">Herr</t>
  </si>
  <si>
    <t xml:space="preserve">männlich</t>
  </si>
  <si>
    <t xml:space="preserve">Musterstraße 1</t>
  </si>
  <si>
    <t xml:space="preserve">12345</t>
  </si>
  <si>
    <t xml:space="preserve">Musterstadt</t>
  </si>
  <si>
    <t xml:space="preserve">max.mustermann@beispiel.de</t>
  </si>
  <si>
    <t xml:space="preserve">Nein</t>
  </si>
  <si>
    <t xml:space="preserve">Aktiv</t>
  </si>
  <si>
    <t xml:space="preserve">Vollzeit</t>
  </si>
  <si>
    <t xml:space="preserve">Sachbearbeiter</t>
  </si>
  <si>
    <t xml:space="preserve">Verwaltung</t>
  </si>
  <si>
    <t xml:space="preserve">100</t>
  </si>
  <si>
    <t xml:space="preserve">Hauptsitz</t>
  </si>
  <si>
    <t xml:space="preserve">Nordrhein-Westfalen</t>
  </si>
  <si>
    <t xml:space="preserve">1000</t>
  </si>
  <si>
    <t xml:space="preserve">Arbeitsvertrag</t>
  </si>
  <si>
    <t xml:space="preserve">VZ-40</t>
  </si>
  <si>
    <t xml:space="preserve">App / Web-Erfassung</t>
  </si>
  <si>
    <t xml:space="preserve">Ja</t>
  </si>
  <si>
    <t xml:space="preserve">Freizeitausgleich</t>
  </si>
  <si>
    <t xml:space="preserve">Keine</t>
  </si>
  <si>
    <t xml:space="preserve">Monatsgehalt</t>
  </si>
  <si>
    <t xml:space="preserve">Arbeitszeitmodelle (Stammdaten)</t>
  </si>
  <si>
    <t xml:space="preserve">Je Modell die Soll-Stunden pro Wochentag (Dezimalstunden, z. B. 7,7 = 7 h 42 min). Wochenstunden und Arbeitstage werden berechnet. Die Modelle sind Vorschläge – bitte an die tatsächlichen Regelungen anpassen und im Stammblatt per ID zuordnen.</t>
  </si>
  <si>
    <t xml:space="preserve">Modell-ID</t>
  </si>
  <si>
    <t xml:space="preserve">Bezeichnung</t>
  </si>
  <si>
    <t xml:space="preserve">Wochenstunden (berechnet)</t>
  </si>
  <si>
    <t xml:space="preserve">Arbeitstage (berechnet)</t>
  </si>
  <si>
    <t xml:space="preserve">Mo</t>
  </si>
  <si>
    <t xml:space="preserve">Di</t>
  </si>
  <si>
    <t xml:space="preserve">Mi</t>
  </si>
  <si>
    <t xml:space="preserve">Do</t>
  </si>
  <si>
    <t xml:space="preserve">Fr</t>
  </si>
  <si>
    <t xml:space="preserve">Sa</t>
  </si>
  <si>
    <t xml:space="preserve">So</t>
  </si>
  <si>
    <t xml:space="preserve">Rahmenzeit von</t>
  </si>
  <si>
    <t xml:space="preserve">Rahmenzeit bis</t>
  </si>
  <si>
    <t xml:space="preserve">Kernzeit von</t>
  </si>
  <si>
    <t xml:space="preserve">Kernzeit bis</t>
  </si>
  <si>
    <t xml:space="preserve">Unbezahlte Pause / Tag (Min.)</t>
  </si>
  <si>
    <t xml:space="preserve">Vollzeit 40 h, Mo–Fr</t>
  </si>
  <si>
    <t xml:space="preserve">Vorschlag</t>
  </si>
  <si>
    <t xml:space="preserve">VZ-38,5</t>
  </si>
  <si>
    <t xml:space="preserve">Vollzeit 38,5 h, Mo–Fr</t>
  </si>
  <si>
    <t xml:space="preserve">Vorschlag (z. B. tarifliche 38,5 h)</t>
  </si>
  <si>
    <t xml:space="preserve">TZ-30</t>
  </si>
  <si>
    <t xml:space="preserve">Teilzeit 30 h, Mo–Fr</t>
  </si>
  <si>
    <t xml:space="preserve">TZ-20-VM</t>
  </si>
  <si>
    <t xml:space="preserve">Teilzeit 20 h, vormittags Mo–Fr</t>
  </si>
  <si>
    <t xml:space="preserve">TZ-24-3T</t>
  </si>
  <si>
    <t xml:space="preserve">Teilzeit 24 h, Mo/Mi/Fr</t>
  </si>
  <si>
    <t xml:space="preserve">MINI-10</t>
  </si>
  <si>
    <t xml:space="preserve">Minijob 10 h/Woche</t>
  </si>
  <si>
    <t xml:space="preserve">Vorschlag; Entgeltgrenze beachten</t>
  </si>
  <si>
    <t xml:space="preserve">WS-20</t>
  </si>
  <si>
    <t xml:space="preserve">Werkstudent 20 h/Woche</t>
  </si>
  <si>
    <t xml:space="preserve">Max. 20 h/Woche in der Vorlesungszeit</t>
  </si>
  <si>
    <t xml:space="preserve">SCHICHT-40</t>
  </si>
  <si>
    <t xml:space="preserve">Schichtmodell 40 h (Ø)</t>
  </si>
  <si>
    <t xml:space="preserve">Konkrete Lage über Schichtplan; Ø-Wert</t>
  </si>
  <si>
    <t xml:space="preserve">Parameter &amp; gesetzliche Grenzwerte</t>
  </si>
  <si>
    <t xml:space="preserve">Blaue Werte sind Eingaben. Die gesetzlichen Werte entsprechen dem Kenntnisstand Okt. 2026 und sind vor Einsatz sowie bei jeder Änderung (z. B. Mindestlohn zum 01.01.) zu prüfen – keine Rechtsberatung.</t>
  </si>
  <si>
    <t xml:space="preserve">Wert</t>
  </si>
  <si>
    <t xml:space="preserve">Einheit</t>
  </si>
  <si>
    <t xml:space="preserve">Quelle / Hinweis</t>
  </si>
  <si>
    <t xml:space="preserve">Unternehmen</t>
  </si>
  <si>
    <t xml:space="preserve">Firmenname</t>
  </si>
  <si>
    <t xml:space="preserve">Muster GmbH</t>
  </si>
  <si>
    <t xml:space="preserve">Bitte eintragen.</t>
  </si>
  <si>
    <t xml:space="preserve">Auswertungsstichtag</t>
  </si>
  <si>
    <t xml:space="preserve">Datum</t>
  </si>
  <si>
    <t xml:space="preserve">Bezugsdatum für Alter etc.; für feste Auswertung ein Datum eintragen.</t>
  </si>
  <si>
    <t xml:space="preserve">Geschäftsjahr-/Urlaubsjahr-Beginn</t>
  </si>
  <si>
    <t xml:space="preserve">Urlaubsjahr = Kalenderjahr, sofern nichts anderes vereinbart.</t>
  </si>
  <si>
    <t xml:space="preserve">Gesetzliche Grenzwerte (Prüfgrundlage)</t>
  </si>
  <si>
    <t xml:space="preserve">Gesetzlicher Mindestlohn</t>
  </si>
  <si>
    <t xml:space="preserve">€/Stunde</t>
  </si>
  <si>
    <t xml:space="preserve">MiLoG; Stand 2026 = 13,90 €, ab 01.01.2027 laut Beschluss 14,60 € – jährlich anpassen.</t>
  </si>
  <si>
    <t xml:space="preserve">Minijob-Entgeltgrenze</t>
  </si>
  <si>
    <t xml:space="preserve">€/Monat</t>
  </si>
  <si>
    <t xml:space="preserve">§ 8 SGB IV (dynamisch: 130 × Mindestlohn ÷ 3); Stand 2026 = 603 €.</t>
  </si>
  <si>
    <t xml:space="preserve">Gesetzlicher Mindesturlaub</t>
  </si>
  <si>
    <t xml:space="preserve">Werktage/Jahr</t>
  </si>
  <si>
    <t xml:space="preserve">§ 3 BUrlG (6-Tage-Woche).</t>
  </si>
  <si>
    <t xml:space="preserve">Zusatzurlaub Schwerbehinderung</t>
  </si>
  <si>
    <t xml:space="preserve">Arbeitstage/Jahr</t>
  </si>
  <si>
    <t xml:space="preserve">§ 208 SGB IX (bei 5-Tage-Woche).</t>
  </si>
  <si>
    <t xml:space="preserve">Regelarbeitszeit pro Tag</t>
  </si>
  <si>
    <t xml:space="preserve">Stunden</t>
  </si>
  <si>
    <t xml:space="preserve">§ 3 ArbZG; auf 10 h verlängerbar bei Ausgleich innerhalb 6 Monaten/24 Wochen im Ø 8 h.</t>
  </si>
  <si>
    <t xml:space="preserve">Höchstarbeitszeit pro Tag (verlängert)</t>
  </si>
  <si>
    <t xml:space="preserve">§ 3 ArbZG.</t>
  </si>
  <si>
    <t xml:space="preserve">Wochenarbeitszeit – Prüfgrenze</t>
  </si>
  <si>
    <t xml:space="preserve">Ø 48 h/Woche (Richtlinie 2003/88/EG, § 3 ArbZG: 6 × 8 h).</t>
  </si>
  <si>
    <t xml:space="preserve">Jugendliche: max. Stunden pro Tag</t>
  </si>
  <si>
    <t xml:space="preserve">§ 8 JArbSchG.</t>
  </si>
  <si>
    <t xml:space="preserve">Jugendliche: max. Stunden pro Woche</t>
  </si>
  <si>
    <t xml:space="preserve">Mindestruhezeit zwischen Arbeitstagen</t>
  </si>
  <si>
    <t xml:space="preserve">§ 5 ArbZG.</t>
  </si>
  <si>
    <t xml:space="preserve">Ruhepause bei &gt; 6 bis 9 Std. Arbeitszeit</t>
  </si>
  <si>
    <t xml:space="preserve">Minuten</t>
  </si>
  <si>
    <t xml:space="preserve">§ 4 ArbZG.</t>
  </si>
  <si>
    <t xml:space="preserve">Ruhepause bei &gt; 9 Std. Arbeitszeit</t>
  </si>
  <si>
    <t xml:space="preserve">Nachtzeit</t>
  </si>
  <si>
    <t xml:space="preserve">23:00–06:00 Uhr</t>
  </si>
  <si>
    <t xml:space="preserve">§ 2 Abs. 3 ArbZG.</t>
  </si>
  <si>
    <t xml:space="preserve">Aufbewahrung der Aufzeichnungen</t>
  </si>
  <si>
    <t xml:space="preserve">Jahre</t>
  </si>
  <si>
    <t xml:space="preserve">§ 16 Abs. 2 ArbZG, § 17 MiLoG (Minijobs/Branchen), betriebliche Fristen ggf. länger (Steuer/Sozialversicherung).</t>
  </si>
  <si>
    <t xml:space="preserve">JaNein</t>
  </si>
  <si>
    <t xml:space="preserve">Beschaeftigungsart</t>
  </si>
  <si>
    <t xml:space="preserve">Bundesland</t>
  </si>
  <si>
    <t xml:space="preserve">Zeiterfassungsart</t>
  </si>
  <si>
    <t xml:space="preserve">Ueberstunden</t>
  </si>
  <si>
    <t xml:space="preserve">Geschäftsführung</t>
  </si>
  <si>
    <t xml:space="preserve">Baden-Württemberg</t>
  </si>
  <si>
    <t xml:space="preserve">Zeitstempelung (Terminal/Stechuhr)</t>
  </si>
  <si>
    <t xml:space="preserve">Frau</t>
  </si>
  <si>
    <t xml:space="preserve">weiblich</t>
  </si>
  <si>
    <t xml:space="preserve">Ruhend (Elternzeit/Langzeitkrank/Sonderurlaub)</t>
  </si>
  <si>
    <t xml:space="preserve">Teilzeit</t>
  </si>
  <si>
    <t xml:space="preserve">Niederlassung 1</t>
  </si>
  <si>
    <t xml:space="preserve">Bayern</t>
  </si>
  <si>
    <t xml:space="preserve">Auszahlung</t>
  </si>
  <si>
    <t xml:space="preserve">Rufbereitschaft</t>
  </si>
  <si>
    <t xml:space="preserve">Stundenlohn</t>
  </si>
  <si>
    <t xml:space="preserve">Divers</t>
  </si>
  <si>
    <t xml:space="preserve">divers</t>
  </si>
  <si>
    <t xml:space="preserve">Ausgeschieden</t>
  </si>
  <si>
    <t xml:space="preserve">Minijob (geringfügig)</t>
  </si>
  <si>
    <t xml:space="preserve">Personal</t>
  </si>
  <si>
    <t xml:space="preserve">Berlin</t>
  </si>
  <si>
    <t xml:space="preserve">Manuelle Eingabe (Stundenzettel)</t>
  </si>
  <si>
    <t xml:space="preserve">Wahlrecht Mitarbeiter</t>
  </si>
  <si>
    <t xml:space="preserve">Bereitschaftsdienst</t>
  </si>
  <si>
    <t xml:space="preserve">Ohne Angabe</t>
  </si>
  <si>
    <t xml:space="preserve">ohne Angabe</t>
  </si>
  <si>
    <t xml:space="preserve">Midijob</t>
  </si>
  <si>
    <t xml:space="preserve">Vertrieb</t>
  </si>
  <si>
    <t xml:space="preserve">Brandenburg</t>
  </si>
  <si>
    <t xml:space="preserve">Vertrauensarbeitszeit mit Erfassung</t>
  </si>
  <si>
    <t xml:space="preserve">Mit Gehalt abgegolten (Pauschale)</t>
  </si>
  <si>
    <t xml:space="preserve">Werkstudent/in</t>
  </si>
  <si>
    <t xml:space="preserve">Produktion</t>
  </si>
  <si>
    <t xml:space="preserve">Bremen</t>
  </si>
  <si>
    <t xml:space="preserve">Auszubildende/r</t>
  </si>
  <si>
    <t xml:space="preserve">Lager/Logistik</t>
  </si>
  <si>
    <t xml:space="preserve">Hamburg</t>
  </si>
  <si>
    <t xml:space="preserve">Praktikant/in</t>
  </si>
  <si>
    <t xml:space="preserve">IT</t>
  </si>
  <si>
    <t xml:space="preserve">Hessen</t>
  </si>
  <si>
    <t xml:space="preserve">Aushilfe (kurzfristig)</t>
  </si>
  <si>
    <t xml:space="preserve">Mecklenburg-Vorpommern</t>
  </si>
  <si>
    <t xml:space="preserve">Geschäftsführer/in (Anstellung)</t>
  </si>
  <si>
    <t xml:space="preserve">Niedersachsen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</si>
  <si>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</si>
  <si>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</si>
  <si>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</si>
  <si>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</si>
  <si>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</si>
  <si>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</si>
  <si>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Feldbeschreibung – Datenwörterbuch</t>
  </si>
  <si>
    <t xml:space="preserve">Nr.</t>
  </si>
  <si>
    <t xml:space="preserve">Spalte</t>
  </si>
  <si>
    <t xml:space="preserve">Feld</t>
  </si>
  <si>
    <t xml:space="preserve">Bereich</t>
  </si>
  <si>
    <t xml:space="preserve">Angabe</t>
  </si>
  <si>
    <t xml:space="preserve">Format / Auswahl</t>
  </si>
  <si>
    <t xml:space="preserve">Erläuterung / Bedeutung für die Zeiterfassung</t>
  </si>
  <si>
    <t xml:space="preserve">A</t>
  </si>
  <si>
    <t xml:space="preserve">Personaldaten</t>
  </si>
  <si>
    <t xml:space="preserve">Pflicht</t>
  </si>
  <si>
    <t xml:space="preserve">Text</t>
  </si>
  <si>
    <t xml:space="preserve">Eindeutige Personalnummer; Schlüssel für Zeitbuchungen, Abwesenheiten und Auswertungen. Nie neu vergeben.</t>
  </si>
  <si>
    <t xml:space="preserve">B</t>
  </si>
  <si>
    <t xml:space="preserve">Familienname laut Ausweis/Arbeitsvertrag.</t>
  </si>
  <si>
    <t xml:space="preserve">C</t>
  </si>
  <si>
    <t xml:space="preserve">Rufname laut Arbeitsvertrag.</t>
  </si>
  <si>
    <t xml:space="preserve">D</t>
  </si>
  <si>
    <t xml:space="preserve">Optional</t>
  </si>
  <si>
    <t xml:space="preserve">Auswahlliste: Herr, Frau, Divers, Ohne Angabe</t>
  </si>
  <si>
    <t xml:space="preserve">Für Schriftverkehr (Zeitnachweise, Benachrichtigungen).</t>
  </si>
  <si>
    <t xml:space="preserve">E</t>
  </si>
  <si>
    <t xml:space="preserve">Akademischer Grad, z. B. Dr.</t>
  </si>
  <si>
    <t xml:space="preserve">F</t>
  </si>
  <si>
    <t xml:space="preserve">Datum TT.MM.JJJJ</t>
  </si>
  <si>
    <t xml:space="preserve">Zur Altersprüfung (Jugendarbeitsschutz &lt; 18 Jahre: max. 8 h/Tag, 40 h/Woche).</t>
  </si>
  <si>
    <t xml:space="preserve">G</t>
  </si>
  <si>
    <t xml:space="preserve">Auswahlliste: männlich, weiblich, divers, ohne Angabe</t>
  </si>
  <si>
    <t xml:space="preserve">Nach AGG-konformer Erfassung; für Statistik, nicht für die Zeiterfassung zwingend.</t>
  </si>
  <si>
    <t xml:space="preserve">H</t>
  </si>
  <si>
    <t xml:space="preserve">Wohnanschrift.</t>
  </si>
  <si>
    <t xml:space="preserve">I</t>
  </si>
  <si>
    <t xml:space="preserve">Postleitzahl (als Text, führende Null bleibt erhalten).</t>
  </si>
  <si>
    <t xml:space="preserve">J</t>
  </si>
  <si>
    <t xml:space="preserve">Wohnort.</t>
  </si>
  <si>
    <t xml:space="preserve">K</t>
  </si>
  <si>
    <t xml:space="preserve">Dienstliche E-Mail für Erinnerungen/Freigaben in der Zeiterfassung.</t>
  </si>
  <si>
    <t xml:space="preserve">L</t>
  </si>
  <si>
    <t xml:space="preserve">Telefon für Rückfragen.</t>
  </si>
  <si>
    <t xml:space="preserve">M</t>
  </si>
  <si>
    <t xml:space="preserve">Auswahlliste: Ja, Nein</t>
  </si>
  <si>
    <t xml:space="preserve">Schwerbehinderte: 5 Tage Zusatzurlaub (SGB IX § 208) und Befreiung von Mehrarbeit auf Verlangen (§ 207). Nachweis liegt der Personalakte bei.</t>
  </si>
  <si>
    <t xml:space="preserve">N</t>
  </si>
  <si>
    <t xml:space="preserve">Arbeitsverhältnis</t>
  </si>
  <si>
    <t xml:space="preserve">Beginn des Arbeitsverhältnisses; Starttermin für Zeitkonto und anteiligen Urlaub.</t>
  </si>
  <si>
    <t xml:space="preserve">O</t>
  </si>
  <si>
    <t xml:space="preserve">Bedingt</t>
  </si>
  <si>
    <t xml:space="preserve">Ende des Arbeitsverhältnisses (auch bei Kündigung bereits eintragbar). Leer = unbefristet laufend.</t>
  </si>
  <si>
    <t xml:space="preserve">P</t>
  </si>
  <si>
    <t xml:space="preserve">Auswahlliste: Aktiv, Ruhend (Elternzeit/Langzeitkrank/Sonderurlaub), Ausgeschieden</t>
  </si>
  <si>
    <t xml:space="preserve">Aktiv = wird erfasst. Ruhend = z. B. Elternzeit, keine Sollzeit. Ausgeschieden = nur Archiv (Aufbewahrungsfrist beachten).</t>
  </si>
  <si>
    <t xml:space="preserve">Q</t>
  </si>
  <si>
    <t xml:space="preserve">Auswahlliste: Vollzeit, Teilzeit, Minijob (geringfügig), Midijob …</t>
  </si>
  <si>
    <t xml:space="preserve">Steuert Prüfregeln (Minijob-Grenze, Mindestlohn, Ausbildung) und Auswertungen.</t>
  </si>
  <si>
    <t xml:space="preserve">R</t>
  </si>
  <si>
    <t xml:space="preserve">Befristung nach TzBfG.</t>
  </si>
  <si>
    <t xml:space="preserve">S</t>
  </si>
  <si>
    <t xml:space="preserve">Enddatum der Befristung; Pflicht, wenn „Befristet“ = Ja.</t>
  </si>
  <si>
    <t xml:space="preserve">T</t>
  </si>
  <si>
    <t xml:space="preserve">Ende der Probezeit (Kündigungsfristen, Urlaubsanspruch).</t>
  </si>
  <si>
    <t xml:space="preserve">U</t>
  </si>
  <si>
    <t xml:space="preserve">Stellenbezeichnung laut Arbeitsvertrag.</t>
  </si>
  <si>
    <t xml:space="preserve">V</t>
  </si>
  <si>
    <t xml:space="preserve">Auswahlliste: Geschäftsführung, Verwaltung, Personal, Vertrieb …</t>
  </si>
  <si>
    <t xml:space="preserve">Organisationseinheit; Liste im Blatt „Listen“ anpassbar.</t>
  </si>
  <si>
    <t xml:space="preserve">W</t>
  </si>
  <si>
    <t xml:space="preserve">Kostenstelle für Zeit- und Kostenzuordnung.</t>
  </si>
  <si>
    <t xml:space="preserve">X</t>
  </si>
  <si>
    <t xml:space="preserve">Auswahlliste: Hauptsitz, Niederlassung 1</t>
  </si>
  <si>
    <t xml:space="preserve">Arbeitsort/Betriebsstätte.</t>
  </si>
  <si>
    <t xml:space="preserve">Y</t>
  </si>
  <si>
    <t xml:space="preserve">Auswahlliste: Baden-Württemberg, Bayern, Berlin, Brandenburg …</t>
  </si>
  <si>
    <t xml:space="preserve">Bestimmt die gesetzlichen Feiertage (Sollzeit-Berechnung) – maßgeblich ist der Arbeitsort, nicht der Wohnort.</t>
  </si>
  <si>
    <t xml:space="preserve">Z</t>
  </si>
  <si>
    <t xml:space="preserve">Personalnummer der Führungskraft; Freigabe von Zeiten/Urlaub.</t>
  </si>
  <si>
    <t xml:space="preserve">AA</t>
  </si>
  <si>
    <t xml:space="preserve">Anwendbarer Tarifvertrag bzw. BV zur Arbeitszeit (Mitbestimmung § 87 Abs. 1 Nr. 2 BetrVG).</t>
  </si>
  <si>
    <t xml:space="preserve">AB</t>
  </si>
  <si>
    <t xml:space="preserve">Arbeitszeit</t>
  </si>
  <si>
    <t xml:space="preserve">Auswahlliste: ID aus Blatt Arbeitszeitmodelle</t>
  </si>
  <si>
    <t xml:space="preserve">ID aus Blatt „Arbeitszeitmodelle“ (Soll je Wochentag, Rahmen-/Kernzeit, Pause).</t>
  </si>
  <si>
    <t xml:space="preserve">AC</t>
  </si>
  <si>
    <t xml:space="preserve">Zahl</t>
  </si>
  <si>
    <t xml:space="preserve">Wöchentliche Arbeitszeit laut Arbeitsvertrag (Stunden, Dezimal, z. B. 38,5).</t>
  </si>
  <si>
    <t xml:space="preserve">AD</t>
  </si>
  <si>
    <t xml:space="preserve">Vertragliche Verteilung auf Tage (Basis für Urlaubsumrechnung).</t>
  </si>
  <si>
    <t xml:space="preserve">AE</t>
  </si>
  <si>
    <t xml:space="preserve">Berechnet</t>
  </si>
  <si>
    <t xml:space="preserve">Formel (nicht ändern)</t>
  </si>
  <si>
    <t xml:space="preserve">Wochenstunden ÷ Arbeitstage; Orientierungswert. Exakte Tagesvorgaben stehen im Arbeitszeitmodell.</t>
  </si>
  <si>
    <t xml:space="preserve">AF</t>
  </si>
  <si>
    <t xml:space="preserve">Wochenstunden des gewählten Modells zum Abgleich mit dem Vertrag.</t>
  </si>
  <si>
    <t xml:space="preserve">AG</t>
  </si>
  <si>
    <t xml:space="preserve">Auswahlliste: Zeitstempelung (Terminal/Stechuhr), App / Web-Erfassung, Manuelle Eingabe (Stundenzettel), Vertrauensarbeitszeit mit Erfassung</t>
  </si>
  <si>
    <t xml:space="preserve">Wie Arbeitszeit erfasst wird (Pflicht zur Erfassung: BAG 13.09.2022 – 1 ABR 22/21, § 3 Abs. 2 Nr. 1 ArbZG).</t>
  </si>
  <si>
    <t xml:space="preserve">AH</t>
  </si>
  <si>
    <t xml:space="preserve">Flexible Lage der Arbeitszeit innerhalb der Rahmenarbeitszeit.</t>
  </si>
  <si>
    <t xml:space="preserve">AI</t>
  </si>
  <si>
    <t xml:space="preserve">Führung eines Zeitkontos (Plus-/Minusstunden).</t>
  </si>
  <si>
    <t xml:space="preserve">AJ</t>
  </si>
  <si>
    <t xml:space="preserve">Obergrenze Zeitguthaben lt. Vereinbarung.</t>
  </si>
  <si>
    <t xml:space="preserve">AK</t>
  </si>
  <si>
    <t xml:space="preserve">Maximal zulässiges Zeitdefizit (als positive Zahl).</t>
  </si>
  <si>
    <t xml:space="preserve">AL</t>
  </si>
  <si>
    <t xml:space="preserve">Auswahlliste: Freizeitausgleich, Auszahlung, Wahlrecht Mitarbeiter, Mit Gehalt abgegolten (Pauschale)</t>
  </si>
  <si>
    <t xml:space="preserve">Vergütung/Ausgleich von Mehrarbeit lt. Arbeitsvertrag.</t>
  </si>
  <si>
    <t xml:space="preserve">AM</t>
  </si>
  <si>
    <t xml:space="preserve">Nur bei „Mit Gehalt abgegolten“: Umfang der abgegoltenen Überstunden (Wirksamkeit der Klausel prüfen).</t>
  </si>
  <si>
    <t xml:space="preserve">AN</t>
  </si>
  <si>
    <t xml:space="preserve">Regelmäßig ≥ 48 Nächte/Jahr zwischen 23 und 6 Uhr (§ 2 Abs. 5 ArbZG) – arbeitsmedizinische Untersuchung, Höchstarbeitszeit.</t>
  </si>
  <si>
    <t xml:space="preserve">AO</t>
  </si>
  <si>
    <t xml:space="preserve">Schichtdienst; Schichtplan statt fester Sollzeit.</t>
  </si>
  <si>
    <t xml:space="preserve">AP</t>
  </si>
  <si>
    <t xml:space="preserve">Regelmäßige Arbeit an Sonn-/Feiertagen (Ausnahme nach § 10 ArbZG, Ersatzruhetag).</t>
  </si>
  <si>
    <t xml:space="preserve">AQ</t>
  </si>
  <si>
    <t xml:space="preserve">Auswahlliste: Keine, Rufbereitschaft, Bereitschaftsdienst</t>
  </si>
  <si>
    <t xml:space="preserve">Rufbereitschaft zählt i. d. R. nicht, Bereitschaftsdienst zählt als Arbeitszeit.</t>
  </si>
  <si>
    <t xml:space="preserve">AR</t>
  </si>
  <si>
    <t xml:space="preserve">Vereinbarte Homeoffice-Tage; Erfassung auch hier erforderlich.</t>
  </si>
  <si>
    <t xml:space="preserve">AS</t>
  </si>
  <si>
    <t xml:space="preserve">Übernahmesaldo zum Startdatum (negativ = Minus). Ohne Altsaldo 0.</t>
  </si>
  <si>
    <t xml:space="preserve">AT</t>
  </si>
  <si>
    <t xml:space="preserve">Stichtag des Übernahmesaldos = Beginn der digitalen Zeiterfassung.</t>
  </si>
  <si>
    <t xml:space="preserve">AU</t>
  </si>
  <si>
    <t xml:space="preserve">Urlaub</t>
  </si>
  <si>
    <t xml:space="preserve">Jahresurlaub in Arbeitstagen lt. Vertrag (inkl. gesetzlichem Mindesturlaub).</t>
  </si>
  <si>
    <t xml:space="preserve">AV</t>
  </si>
  <si>
    <t xml:space="preserve">24 Werktage bei 6-Tage-Woche ⇒ 4 × Arbeitstage/Woche (§ 3 BUrlG).</t>
  </si>
  <si>
    <t xml:space="preserve">AW</t>
  </si>
  <si>
    <t xml:space="preserve">5 Arbeitstage bei 5-Tage-Woche, umgerechnet auf Arbeitstage/Woche (§ 208 SGB IX).</t>
  </si>
  <si>
    <t xml:space="preserve">AX</t>
  </si>
  <si>
    <t xml:space="preserve">Übertrag aus dem Vorjahr zum Startzeitpunkt.</t>
  </si>
  <si>
    <t xml:space="preserve">AY</t>
  </si>
  <si>
    <t xml:space="preserve">Verfallsdatum des Übertrags (üblich 31.03.; Hinweispflicht des Arbeitgebers beachten).</t>
  </si>
  <si>
    <t xml:space="preserve">AZ</t>
  </si>
  <si>
    <t xml:space="preserve">Vertragsurlaub + Zusatzurlaub + Resturlaub.</t>
  </si>
  <si>
    <t xml:space="preserve">BA</t>
  </si>
  <si>
    <t xml:space="preserve">Entgelt (Prüfung)</t>
  </si>
  <si>
    <t xml:space="preserve">Auswahlliste: Monatsgehalt, Stundenlohn</t>
  </si>
  <si>
    <t xml:space="preserve">Monatsgehalt oder Stundenlohn; Basis für die Mindestlohnprüfung.</t>
  </si>
  <si>
    <t xml:space="preserve">BB</t>
  </si>
  <si>
    <t xml:space="preserve">Vereinbartes Monatsentgelt brutto bei Monatsgehalt.</t>
  </si>
  <si>
    <t xml:space="preserve">BC</t>
  </si>
  <si>
    <t xml:space="preserve">Vereinbarter Stundenlohn brutto bei Entgeltart Stundenlohn.</t>
  </si>
  <si>
    <t xml:space="preserve">BD</t>
  </si>
  <si>
    <t xml:space="preserve">Bei Monatsgehalt: Brutto × 12 ÷ (Wochenstunden × 52).</t>
  </si>
  <si>
    <t xml:space="preserve">BE</t>
  </si>
  <si>
    <t xml:space="preserve">Automatische Prüfung</t>
  </si>
  <si>
    <t xml:space="preserve">Alter zum Stichtag (Blatt „Parameter“).</t>
  </si>
  <si>
    <t xml:space="preserve">BF</t>
  </si>
  <si>
    <t xml:space="preserve">Ja ⇒ Jugendarbeitsschutzgesetz (Höchstarbeitszeit, Pausen, Nachtruhe).</t>
  </si>
  <si>
    <t xml:space="preserve">BG</t>
  </si>
  <si>
    <t xml:space="preserve">Sammelhinweis auf fehlende Pflichtfelder und Regelverstöße; „OK“ = keine Auffälligkeit.</t>
  </si>
  <si>
    <t xml:space="preserve">BH</t>
  </si>
  <si>
    <t xml:space="preserve">Freitext, z. B. Besonderheiten der Vereinbarung. Keine Gesundheitsdaten eintragen.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</si>
</sst>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dd\.mm\.yyyy"/>
    <numFmt numFmtId="167" formatCode="0.00"/>
    <numFmt numFmtId="168" formatCode="0.0"/>
    <numFmt numFmtId="169" formatCode="#,##0.00"/>
    <numFmt numFmtId="170" formatCode="0"/>
    <numFmt numFmtId="171" formatCode="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1F386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2F5597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2F5597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FF9E5"/>
      </patternFill>
    </fill>
    <fill>
      <patternFill patternType="solid">
        <fgColor rgb="FFFFF9E5"/>
        <bgColor rgb="FFFFFFFF"/>
      </patternFill>
    </fill>
    <fill>
      <patternFill patternType="solid">
        <fgColor rgb="FFFFFFFF"/>
        <bgColor rgb="FFFFF9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9E5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CC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5.05" hidden="false" customHeight="false" outlineLevel="0" collapsed="false">
      <c r="B4" s="3" t="s">
        <v>2</v>
      </c>
      <c r="C4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6" t="s">
        <v>5</v>
      </c>
      <c r="C7" s="4" t="s">
        <v>6</v>
      </c>
    </row>
    <row r="8" customFormat="false" ht="15" hidden="false" customHeight="false" outlineLevel="0" collapsed="false">
      <c r="B8" s="6" t="s">
        <v>7</v>
      </c>
      <c r="C8" s="4" t="s">
        <v>8</v>
      </c>
    </row>
    <row r="9" customFormat="false" ht="15" hidden="false" customHeight="false" outlineLevel="0" collapsed="false">
      <c r="B9" s="6" t="s">
        <v>9</v>
      </c>
      <c r="C9" s="4" t="s">
        <v>10</v>
      </c>
    </row>
    <row r="10" customFormat="false" ht="15" hidden="false" customHeight="false" outlineLevel="0" collapsed="false">
      <c r="B10" s="6" t="s">
        <v>11</v>
      </c>
      <c r="C10" s="4" t="s">
        <v>12</v>
      </c>
    </row>
    <row r="11" customFormat="false" ht="15" hidden="false" customHeight="false" outlineLevel="0" collapsed="false">
      <c r="B11" s="6" t="s">
        <v>13</v>
      </c>
      <c r="C11" s="4" t="s">
        <v>14</v>
      </c>
    </row>
    <row r="13" customFormat="false" ht="15" hidden="false" customHeight="false" outlineLevel="0" collapsed="false">
      <c r="B13" s="5" t="s">
        <v>15</v>
      </c>
    </row>
    <row r="14" customFormat="false" ht="1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9" t="s">
        <v>18</v>
      </c>
      <c r="C15" s="8" t="s">
        <v>19</v>
      </c>
    </row>
    <row r="16" customFormat="false" ht="15" hidden="false" customHeight="false" outlineLevel="0" collapsed="false">
      <c r="B16" s="10" t="s">
        <v>20</v>
      </c>
      <c r="C16" s="8" t="s">
        <v>21</v>
      </c>
    </row>
    <row r="17" customFormat="false" ht="15" hidden="false" customHeight="false" outlineLevel="0" collapsed="false">
      <c r="B17" s="11" t="s">
        <v>22</v>
      </c>
      <c r="C17" s="8" t="s">
        <v>23</v>
      </c>
    </row>
    <row r="19" customFormat="false" ht="15" hidden="false" customHeight="false" outlineLevel="0" collapsed="false">
      <c r="B19" s="5" t="s">
        <v>24</v>
      </c>
    </row>
    <row r="20" customFormat="false" ht="15" hidden="false" customHeight="false" outlineLevel="0" collapsed="false">
      <c r="B20" s="6" t="s">
        <v>25</v>
      </c>
      <c r="C20" s="4" t="s">
        <v>26</v>
      </c>
    </row>
    <row r="21" customFormat="false" ht="15" hidden="false" customHeight="false" outlineLevel="0" collapsed="false">
      <c r="B21" s="6" t="s">
        <v>27</v>
      </c>
      <c r="C21" s="4" t="s">
        <v>28</v>
      </c>
    </row>
    <row r="22" customFormat="false" ht="15" hidden="false" customHeight="false" outlineLevel="0" collapsed="false">
      <c r="B22" s="6" t="s">
        <v>29</v>
      </c>
      <c r="C22" s="4" t="s">
        <v>30</v>
      </c>
    </row>
    <row r="23" customFormat="false" ht="15" hidden="false" customHeight="false" outlineLevel="0" collapsed="false">
      <c r="B23" s="6" t="s">
        <v>31</v>
      </c>
      <c r="C23" s="4" t="s">
        <v>32</v>
      </c>
    </row>
    <row r="24" customFormat="false" ht="15" hidden="false" customHeight="false" outlineLevel="0" collapsed="false">
      <c r="B24" s="6" t="s">
        <v>33</v>
      </c>
      <c r="C24" s="4" t="s">
        <v>34</v>
      </c>
    </row>
    <row r="25" customFormat="false" ht="15" hidden="false" customHeight="false" outlineLevel="0" collapsed="false">
      <c r="B25" s="6" t="s">
        <v>35</v>
      </c>
      <c r="C25" s="4" t="s">
        <v>36</v>
      </c>
    </row>
    <row r="27" customFormat="false" ht="26.85" hidden="false" customHeight="false" outlineLevel="0" collapsed="false">
      <c r="B27" s="5" t="s">
        <v>37</v>
      </c>
    </row>
    <row r="28" customFormat="false" ht="35.05" hidden="false" customHeight="false" outlineLevel="0" collapsed="false">
      <c r="B28" s="6" t="s">
        <v>38</v>
      </c>
      <c r="C28" s="4" t="s">
        <v>39</v>
      </c>
    </row>
    <row r="29" customFormat="false" ht="23.85" hidden="false" customHeight="false" outlineLevel="0" collapsed="false">
      <c r="B29" s="6" t="s">
        <v>40</v>
      </c>
      <c r="C29" s="4" t="s">
        <v>41</v>
      </c>
    </row>
    <row r="30" customFormat="false" ht="23.85" hidden="false" customHeight="false" outlineLevel="0" collapsed="false">
      <c r="B30" s="6" t="s">
        <v>42</v>
      </c>
      <c r="C30" s="4" t="s">
        <v>43</v>
      </c>
    </row>
    <row r="31" customFormat="false" ht="35.05" hidden="false" customHeight="false" outlineLevel="0" collapsed="false">
      <c r="B31" s="6" t="s">
        <v>44</v>
      </c>
      <c r="C31" s="4" t="s">
        <v>45</v>
      </c>
    </row>
    <row r="32" customFormat="false" ht="23.85" hidden="false" customHeight="false" outlineLevel="0" collapsed="false">
      <c r="B32" s="6" t="s">
        <v>46</v>
      </c>
      <c r="C32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H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15"/>
    <col collapsed="false" customWidth="true" hidden="false" outlineLevel="0" max="15" min="14" style="0" width="13"/>
    <col collapsed="false" customWidth="true" hidden="false" outlineLevel="0" max="16" min="16" style="0" width="20"/>
    <col collapsed="false" customWidth="true" hidden="false" outlineLevel="0" max="17" min="17" style="0" width="22"/>
    <col collapsed="false" customWidth="true" hidden="false" outlineLevel="0" max="18" min="18" style="0" width="10"/>
    <col collapsed="false" customWidth="true" hidden="false" outlineLevel="0" max="20" min="19" style="0" width="13"/>
    <col collapsed="false" customWidth="true" hidden="false" outlineLevel="0" max="21" min="21" style="0" width="22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16"/>
    <col collapsed="false" customWidth="true" hidden="false" outlineLevel="0" max="25" min="25" style="0" width="22"/>
    <col collapsed="false" customWidth="true" hidden="false" outlineLevel="0" max="26" min="26" style="0" width="14"/>
    <col collapsed="false" customWidth="true" hidden="false" outlineLevel="0" max="27" min="27" style="0" width="24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0" min="30" style="0" width="11"/>
    <col collapsed="false" customWidth="true" hidden="false" outlineLevel="0" max="32" min="31" style="0" width="12"/>
    <col collapsed="false" customWidth="true" hidden="false" outlineLevel="0" max="33" min="33" style="0" width="30"/>
    <col collapsed="false" customWidth="true" hidden="false" outlineLevel="0" max="34" min="34" style="0" width="9"/>
    <col collapsed="false" customWidth="true" hidden="false" outlineLevel="0" max="37" min="35" style="0" width="11"/>
    <col collapsed="false" customWidth="true" hidden="false" outlineLevel="0" max="38" min="38" style="0" width="26"/>
    <col collapsed="false" customWidth="true" hidden="false" outlineLevel="0" max="39" min="39" style="0" width="13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13"/>
    <col collapsed="false" customWidth="true" hidden="false" outlineLevel="0" max="43" min="43" style="0" width="17"/>
    <col collapsed="false" customWidth="true" hidden="false" outlineLevel="0" max="45" min="44" style="0" width="12"/>
    <col collapsed="false" customWidth="true" hidden="false" outlineLevel="0" max="46" min="46" style="0" width="13"/>
    <col collapsed="false" customWidth="true" hidden="false" outlineLevel="0" max="50" min="47" style="0" width="12"/>
    <col collapsed="false" customWidth="true" hidden="false" outlineLevel="0" max="51" min="51" style="0" width="13"/>
    <col collapsed="false" customWidth="true" hidden="false" outlineLevel="0" max="52" min="52" style="0" width="12"/>
    <col collapsed="false" customWidth="true" hidden="false" outlineLevel="0" max="53" min="53" style="0" width="14"/>
    <col collapsed="false" customWidth="true" hidden="false" outlineLevel="0" max="54" min="54" style="0" width="13"/>
    <col collapsed="false" customWidth="true" hidden="false" outlineLevel="0" max="56" min="55" style="0" width="12"/>
    <col collapsed="false" customWidth="true" hidden="false" outlineLevel="0" max="57" min="57" style="0" width="7"/>
    <col collapsed="false" customWidth="true" hidden="false" outlineLevel="0" max="58" min="58" style="0" width="11"/>
    <col collapsed="false" customWidth="true" hidden="false" outlineLevel="0" max="59" min="59" style="0" width="46"/>
    <col collapsed="false" customWidth="true" hidden="false" outlineLevel="0" max="60" min="60" style="0" width="30"/>
  </cols>
  <sheetData>
    <row r="1" customFormat="false" ht="17.35" hidden="false" customHeight="false" outlineLevel="0" collapsed="false">
      <c r="A1" s="12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13" t="s">
        <v>50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 t="s">
        <v>51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5" t="s">
        <v>52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6" t="s">
        <v>53</v>
      </c>
      <c r="AV3" s="16"/>
      <c r="AW3" s="16"/>
      <c r="AX3" s="16"/>
      <c r="AY3" s="16"/>
      <c r="AZ3" s="16"/>
      <c r="BA3" s="17" t="s">
        <v>54</v>
      </c>
      <c r="BB3" s="17"/>
      <c r="BC3" s="17"/>
      <c r="BD3" s="17"/>
      <c r="BE3" s="18" t="s">
        <v>55</v>
      </c>
      <c r="BF3" s="18"/>
      <c r="BG3" s="18"/>
      <c r="BH3" s="18"/>
    </row>
    <row r="4" customFormat="false" ht="57.75" hidden="false" customHeight="true" outlineLevel="0" collapsed="false">
      <c r="A4" s="19" t="s">
        <v>56</v>
      </c>
      <c r="B4" s="19" t="s">
        <v>57</v>
      </c>
      <c r="C4" s="19" t="s">
        <v>58</v>
      </c>
      <c r="D4" s="19" t="s">
        <v>59</v>
      </c>
      <c r="E4" s="19" t="s">
        <v>60</v>
      </c>
      <c r="F4" s="19" t="s">
        <v>61</v>
      </c>
      <c r="G4" s="19" t="s">
        <v>62</v>
      </c>
      <c r="H4" s="19" t="s">
        <v>63</v>
      </c>
      <c r="I4" s="19" t="s">
        <v>64</v>
      </c>
      <c r="J4" s="19" t="s">
        <v>65</v>
      </c>
      <c r="K4" s="19" t="s">
        <v>66</v>
      </c>
      <c r="L4" s="19" t="s">
        <v>67</v>
      </c>
      <c r="M4" s="19" t="s">
        <v>68</v>
      </c>
      <c r="N4" s="20" t="s">
        <v>69</v>
      </c>
      <c r="O4" s="20" t="s">
        <v>70</v>
      </c>
      <c r="P4" s="20" t="s">
        <v>71</v>
      </c>
      <c r="Q4" s="20" t="s">
        <v>72</v>
      </c>
      <c r="R4" s="20" t="s">
        <v>73</v>
      </c>
      <c r="S4" s="20" t="s">
        <v>74</v>
      </c>
      <c r="T4" s="20" t="s">
        <v>75</v>
      </c>
      <c r="U4" s="20" t="s">
        <v>76</v>
      </c>
      <c r="V4" s="20" t="s">
        <v>77</v>
      </c>
      <c r="W4" s="20" t="s">
        <v>78</v>
      </c>
      <c r="X4" s="20" t="s">
        <v>79</v>
      </c>
      <c r="Y4" s="20" t="s">
        <v>80</v>
      </c>
      <c r="Z4" s="20" t="s">
        <v>81</v>
      </c>
      <c r="AA4" s="20" t="s">
        <v>82</v>
      </c>
      <c r="AB4" s="21" t="s">
        <v>83</v>
      </c>
      <c r="AC4" s="21" t="s">
        <v>84</v>
      </c>
      <c r="AD4" s="21" t="s">
        <v>85</v>
      </c>
      <c r="AE4" s="21" t="s">
        <v>86</v>
      </c>
      <c r="AF4" s="21" t="s">
        <v>87</v>
      </c>
      <c r="AG4" s="21" t="s">
        <v>88</v>
      </c>
      <c r="AH4" s="21" t="s">
        <v>89</v>
      </c>
      <c r="AI4" s="21" t="s">
        <v>90</v>
      </c>
      <c r="AJ4" s="21" t="s">
        <v>91</v>
      </c>
      <c r="AK4" s="21" t="s">
        <v>92</v>
      </c>
      <c r="AL4" s="21" t="s">
        <v>93</v>
      </c>
      <c r="AM4" s="21" t="s">
        <v>94</v>
      </c>
      <c r="AN4" s="21" t="s">
        <v>95</v>
      </c>
      <c r="AO4" s="21" t="s">
        <v>96</v>
      </c>
      <c r="AP4" s="21" t="s">
        <v>97</v>
      </c>
      <c r="AQ4" s="21" t="s">
        <v>98</v>
      </c>
      <c r="AR4" s="21" t="s">
        <v>99</v>
      </c>
      <c r="AS4" s="21" t="s">
        <v>100</v>
      </c>
      <c r="AT4" s="21" t="s">
        <v>101</v>
      </c>
      <c r="AU4" s="22" t="s">
        <v>102</v>
      </c>
      <c r="AV4" s="22" t="s">
        <v>103</v>
      </c>
      <c r="AW4" s="22" t="s">
        <v>104</v>
      </c>
      <c r="AX4" s="22" t="s">
        <v>105</v>
      </c>
      <c r="AY4" s="22" t="s">
        <v>106</v>
      </c>
      <c r="AZ4" s="22" t="s">
        <v>107</v>
      </c>
      <c r="BA4" s="23" t="s">
        <v>108</v>
      </c>
      <c r="BB4" s="23" t="s">
        <v>109</v>
      </c>
      <c r="BC4" s="23" t="s">
        <v>110</v>
      </c>
      <c r="BD4" s="23" t="s">
        <v>111</v>
      </c>
      <c r="BE4" s="24" t="s">
        <v>112</v>
      </c>
      <c r="BF4" s="24" t="s">
        <v>113</v>
      </c>
      <c r="BG4" s="24" t="s">
        <v>114</v>
      </c>
      <c r="BH4" s="24" t="s">
        <v>115</v>
      </c>
    </row>
    <row r="5" customFormat="false" ht="15" hidden="false" customHeight="false" outlineLevel="0" collapsed="false">
      <c r="A5" s="25" t="s">
        <v>116</v>
      </c>
      <c r="B5" s="26" t="s">
        <v>117</v>
      </c>
      <c r="C5" s="26" t="s">
        <v>118</v>
      </c>
      <c r="D5" s="26" t="s">
        <v>119</v>
      </c>
      <c r="E5" s="26"/>
      <c r="F5" s="27" t="n">
        <v>33007</v>
      </c>
      <c r="G5" s="26" t="s">
        <v>120</v>
      </c>
      <c r="H5" s="26" t="s">
        <v>121</v>
      </c>
      <c r="I5" s="25" t="s">
        <v>122</v>
      </c>
      <c r="J5" s="26" t="s">
        <v>123</v>
      </c>
      <c r="K5" s="26" t="s">
        <v>124</v>
      </c>
      <c r="L5" s="26"/>
      <c r="M5" s="26" t="s">
        <v>125</v>
      </c>
      <c r="N5" s="27" t="n">
        <v>44621</v>
      </c>
      <c r="O5" s="27"/>
      <c r="P5" s="26" t="s">
        <v>126</v>
      </c>
      <c r="Q5" s="26" t="s">
        <v>127</v>
      </c>
      <c r="R5" s="26" t="s">
        <v>125</v>
      </c>
      <c r="S5" s="27"/>
      <c r="T5" s="27" t="n">
        <v>44804</v>
      </c>
      <c r="U5" s="26" t="s">
        <v>128</v>
      </c>
      <c r="V5" s="26" t="s">
        <v>129</v>
      </c>
      <c r="W5" s="25" t="s">
        <v>130</v>
      </c>
      <c r="X5" s="26" t="s">
        <v>131</v>
      </c>
      <c r="Y5" s="26" t="s">
        <v>132</v>
      </c>
      <c r="Z5" s="25" t="s">
        <v>133</v>
      </c>
      <c r="AA5" s="26" t="s">
        <v>134</v>
      </c>
      <c r="AB5" s="26" t="s">
        <v>135</v>
      </c>
      <c r="AC5" s="28" t="n">
        <v>40</v>
      </c>
      <c r="AD5" s="29" t="n">
        <v>5</v>
      </c>
      <c r="AE5" s="30" t="n">
        <f aca="false">IF(OR(A5="",NOT(ISNUMBER(AC5)),NOT(ISNUMBER(AD5))),"",IF(AD5&gt;0,AC5/AD5,""))</f>
        <v>8</v>
      </c>
      <c r="AF5" s="30" t="n">
        <f aca="false">IF(OR(A5="",AB5=""),"",IFERROR(INDEX(Arbeitszeitmodelle!$C$5:$C$34,MATCH(AB5,Arbeitszeitmodelle!$A$5:$A$34,0)),""))</f>
        <v>40</v>
      </c>
      <c r="AG5" s="26" t="s">
        <v>136</v>
      </c>
      <c r="AH5" s="26" t="s">
        <v>137</v>
      </c>
      <c r="AI5" s="26" t="s">
        <v>137</v>
      </c>
      <c r="AJ5" s="29" t="n">
        <v>80</v>
      </c>
      <c r="AK5" s="29" t="n">
        <v>40</v>
      </c>
      <c r="AL5" s="26" t="s">
        <v>138</v>
      </c>
      <c r="AM5" s="29"/>
      <c r="AN5" s="26" t="s">
        <v>125</v>
      </c>
      <c r="AO5" s="26" t="s">
        <v>125</v>
      </c>
      <c r="AP5" s="26" t="s">
        <v>125</v>
      </c>
      <c r="AQ5" s="26" t="s">
        <v>139</v>
      </c>
      <c r="AR5" s="29" t="n">
        <v>2</v>
      </c>
      <c r="AS5" s="28" t="n">
        <v>0</v>
      </c>
      <c r="AT5" s="27" t="n">
        <v>46023</v>
      </c>
      <c r="AU5" s="29" t="n">
        <v>30</v>
      </c>
      <c r="AV5" s="31" t="n">
        <f aca="false">IF(OR(A5="",NOT(ISNUMBER(AD5))),"",P_MinUrlaubWerktage/6*AD5)</f>
        <v>20</v>
      </c>
      <c r="AW5" s="31" t="n">
        <f aca="false">IF(A5="","",IF(M5="Ja",P_ZusatzSB*IF(ISNUMBER(AD5),AD5,5)/5,0))</f>
        <v>0</v>
      </c>
      <c r="AX5" s="29" t="n">
        <v>3</v>
      </c>
      <c r="AY5" s="27" t="n">
        <v>46477</v>
      </c>
      <c r="AZ5" s="31" t="n">
        <f aca="false">IF(OR(A5="",NOT(ISNUMBER(AU5))),"",SUM(AU5,AW5,AX5))</f>
        <v>33</v>
      </c>
      <c r="BA5" s="26" t="s">
        <v>140</v>
      </c>
      <c r="BB5" s="32" t="n">
        <v>3800</v>
      </c>
      <c r="BC5" s="32"/>
      <c r="BD5" s="33" t="n">
        <f aca="false">IF(A5="","",IF(BA5="Stundenlohn",IF(ISNUMBER(BC5),BC5,""),IF(AND(ISNUMBER(BB5),ISNUMBER(AC5)),IF(AC5&gt;0,BB5*12/(AC5*52),""),"")))</f>
        <v>21.9230769230769</v>
      </c>
      <c r="BE5" s="34" t="n">
        <f aca="false">IF(OR(A5="",NOT(ISNUMBER(F5))),"",IFERROR(DATEDIF(F5,P_Stichtag,"Y"),""))</f>
        <v>36</v>
      </c>
      <c r="BF5" s="35" t="str">
        <f aca="false">IF(OR(A5="",NOT(ISNUMBER(BE5))),"",IF(BE5&lt;18,"Ja","Nein"))</f>
        <v>Nein</v>
      </c>
      <c r="BG5" s="36" t="str">
        <f aca="false">IF(A5="","",IF((IF(OR(B5="",C5="",F5="",N5="",Q5="",AB5="",AC5="",AD5="",AU5=""),"Pflichtfelder fehlen; ","")&amp;IF(AND(ISNUMBER(AC5),AC5&gt;P_MaxWoche),"Wochenstunden &gt; Prüfgrenze; ","")&amp;IF(AND(BF5="Ja",ISNUMBER(AC5),AC5&gt;P_MaxWocheJugend),"Jugendlicher &gt; 40 h/Woche; ","")&amp;IF(AND(ISNUMBER(BD5),BD5&lt;P_Mindestlohn,Q5&lt;&gt;"Auszubildende/r",Q5&lt;&gt;"Praktikant/in"),"Mindestlohn unterschritten?; ","")&amp;IF(AND(Q5="Minijob (geringfügig)",ISNUMBER(BB5),BB5&gt;P_Minijob),"Minijob-Grenze überschritten; ","")&amp;IF(AND(R5="Ja",S5=""),"Befristung ohne Enddatum; ","")&amp;IF(AND(ISNUMBER(O5),ISNUMBER(N5),O5&lt;N5),"Austritt vor Eintritt; ","")&amp;IF(AND(ISNUMBER(AU5),ISNUMBER(AV5),AU5&lt;AV5),"Urlaub unter gesetzl. Minimum; ","")&amp;IF(AND(ISNUMBER(AC5),ISNUMBER(AF5),ABS(N(AC5)-N(AF5))&gt;0.01),"Wochenstd. weichen vom Modell ab; ","")&amp;IF(AND(AI5="Ja",OR(AJ5="",AK5="")),"Kontogrenzen fehlen; ","")&amp;IF(AND(AL5="Mit Gehalt abgegolten (Pauschale)",AM5=""),"Überstunden-Pauschale fehlt; ",""))="","OK",IF(OR(B5="",C5="",F5="",N5="",Q5="",AB5="",AC5="",AD5="",AU5=""),"Pflichtfelder fehlen; ","")&amp;IF(AND(ISNUMBER(AC5),AC5&gt;P_MaxWoche),"Wochenstunden &gt; Prüfgrenze; ","")&amp;IF(AND(BF5="Ja",ISNUMBER(AC5),AC5&gt;P_MaxWocheJugend),"Jugendlicher &gt; 40 h/Woche; ","")&amp;IF(AND(ISNUMBER(BD5),BD5&lt;P_Mindestlohn,Q5&lt;&gt;"Auszubildende/r",Q5&lt;&gt;"Praktikant/in"),"Mindestlohn unterschritten?; ","")&amp;IF(AND(Q5="Minijob (geringfügig)",ISNUMBER(BB5),BB5&gt;P_Minijob),"Minijob-Grenze überschritten; ","")&amp;IF(AND(R5="Ja",S5=""),"Befristung ohne Enddatum; ","")&amp;IF(AND(ISNUMBER(O5),ISNUMBER(N5),O5&lt;N5),"Austritt vor Eintritt; ","")&amp;IF(AND(ISNUMBER(AU5),ISNUMBER(AV5),AU5&lt;AV5),"Urlaub unter gesetzl. Minimum; ","")&amp;IF(AND(ISNUMBER(AC5),ISNUMBER(AF5),ABS(N(AC5)-N(AF5))&gt;0.01),"Wochenstd. weichen vom Modell ab; ","")&amp;IF(AND(AI5="Ja",OR(AJ5="",AK5="")),"Kontogrenzen fehlen; ","")&amp;IF(AND(AL5="Mit Gehalt abgegolten (Pauschale)",AM5=""),"Überstunden-Pauschale fehlt; ","")))</f>
        <v>OK</v>
      </c>
      <c r="BH5" s="26"/>
    </row>
    <row r="6" customFormat="false" ht="15" hidden="false" customHeight="false" outlineLevel="0" collapsed="false">
      <c r="A6" s="37"/>
      <c r="B6" s="38"/>
      <c r="C6" s="38"/>
      <c r="D6" s="38"/>
      <c r="E6" s="38"/>
      <c r="F6" s="39"/>
      <c r="G6" s="38"/>
      <c r="H6" s="38"/>
      <c r="I6" s="37"/>
      <c r="J6" s="38"/>
      <c r="K6" s="38"/>
      <c r="L6" s="38"/>
      <c r="M6" s="38"/>
      <c r="N6" s="39"/>
      <c r="O6" s="39"/>
      <c r="P6" s="38"/>
      <c r="Q6" s="38"/>
      <c r="R6" s="38"/>
      <c r="S6" s="39"/>
      <c r="T6" s="39"/>
      <c r="U6" s="38"/>
      <c r="V6" s="38"/>
      <c r="W6" s="37"/>
      <c r="X6" s="38"/>
      <c r="Y6" s="38"/>
      <c r="Z6" s="37"/>
      <c r="AA6" s="38"/>
      <c r="AB6" s="38"/>
      <c r="AC6" s="40"/>
      <c r="AD6" s="41"/>
      <c r="AE6" s="42" t="str">
        <f aca="false">IF(OR(A6="",NOT(ISNUMBER(AC6)),NOT(ISNUMBER(AD6))),"",IF(AD6&gt;0,AC6/AD6,""))</f>
        <v/>
      </c>
      <c r="AF6" s="42" t="str">
        <f aca="false">IF(OR(A6="",AB6=""),"",IFERROR(INDEX(Arbeitszeitmodelle!$C$5:$C$34,MATCH(AB6,Arbeitszeitmodelle!$A$5:$A$34,0)),""))</f>
        <v/>
      </c>
      <c r="AG6" s="38"/>
      <c r="AH6" s="38"/>
      <c r="AI6" s="38"/>
      <c r="AJ6" s="41"/>
      <c r="AK6" s="41"/>
      <c r="AL6" s="38"/>
      <c r="AM6" s="41"/>
      <c r="AN6" s="38"/>
      <c r="AO6" s="38"/>
      <c r="AP6" s="38"/>
      <c r="AQ6" s="38"/>
      <c r="AR6" s="41"/>
      <c r="AS6" s="40"/>
      <c r="AT6" s="39"/>
      <c r="AU6" s="41"/>
      <c r="AV6" s="43" t="str">
        <f aca="false">IF(OR(A6="",NOT(ISNUMBER(AD6))),"",P_MinUrlaubWerktage/6*AD6)</f>
        <v/>
      </c>
      <c r="AW6" s="43" t="str">
        <f aca="false">IF(A6="","",IF(M6="Ja",P_ZusatzSB*IF(ISNUMBER(AD6),AD6,5)/5,0))</f>
        <v/>
      </c>
      <c r="AX6" s="41"/>
      <c r="AY6" s="39"/>
      <c r="AZ6" s="43" t="str">
        <f aca="false">IF(OR(A6="",NOT(ISNUMBER(AU6))),"",SUM(AU6,AW6,AX6))</f>
        <v/>
      </c>
      <c r="BA6" s="38"/>
      <c r="BB6" s="44"/>
      <c r="BC6" s="44"/>
      <c r="BD6" s="45" t="str">
        <f aca="false">IF(A6="","",IF(BA6="Stundenlohn",IF(ISNUMBER(BC6),BC6,""),IF(AND(ISNUMBER(BB6),ISNUMBER(AC6)),IF(AC6&gt;0,BB6*12/(AC6*52),""),"")))</f>
        <v/>
      </c>
      <c r="BE6" s="46" t="str">
        <f aca="false">IF(OR(A6="",NOT(ISNUMBER(F6))),"",IFERROR(DATEDIF(F6,P_Stichtag,"Y"),""))</f>
        <v/>
      </c>
      <c r="BF6" s="47" t="str">
        <f aca="false">IF(OR(A6="",NOT(ISNUMBER(BE6))),"",IF(BE6&lt;18,"Ja","Nein"))</f>
        <v/>
      </c>
      <c r="BG6" s="48" t="str">
        <f aca="false">IF(A6="","",IF((IF(OR(B6="",C6="",F6="",N6="",Q6="",AB6="",AC6="",AD6="",AU6=""),"Pflichtfelder fehlen; ","")&amp;IF(AND(ISNUMBER(AC6),AC6&gt;P_MaxWoche),"Wochenstunden &gt; Prüfgrenze; ","")&amp;IF(AND(BF6="Ja",ISNUMBER(AC6),AC6&gt;P_MaxWocheJugend),"Jugendlicher &gt; 40 h/Woche; ","")&amp;IF(AND(ISNUMBER(BD6),BD6&lt;P_Mindestlohn,Q6&lt;&gt;"Auszubildende/r",Q6&lt;&gt;"Praktikant/in"),"Mindestlohn unterschritten?; ","")&amp;IF(AND(Q6="Minijob (geringfügig)",ISNUMBER(BB6),BB6&gt;P_Minijob),"Minijob-Grenze überschritten; ","")&amp;IF(AND(R6="Ja",S6=""),"Befristung ohne Enddatum; ","")&amp;IF(AND(ISNUMBER(O6),ISNUMBER(N6),O6&lt;N6),"Austritt vor Eintritt; ","")&amp;IF(AND(ISNUMBER(AU6),ISNUMBER(AV6),AU6&lt;AV6),"Urlaub unter gesetzl. Minimum; ","")&amp;IF(AND(ISNUMBER(AC6),ISNUMBER(AF6),ABS(N(AC6)-N(AF6))&gt;0.01),"Wochenstd. weichen vom Modell ab; ","")&amp;IF(AND(AI6="Ja",OR(AJ6="",AK6="")),"Kontogrenzen fehlen; ","")&amp;IF(AND(AL6="Mit Gehalt abgegolten (Pauschale)",AM6=""),"Überstunden-Pauschale fehlt; ",""))="","OK",IF(OR(B6="",C6="",F6="",N6="",Q6="",AB6="",AC6="",AD6="",AU6=""),"Pflichtfelder fehlen; ","")&amp;IF(AND(ISNUMBER(AC6),AC6&gt;P_MaxWoche),"Wochenstunden &gt; Prüfgrenze; ","")&amp;IF(AND(BF6="Ja",ISNUMBER(AC6),AC6&gt;P_MaxWocheJugend),"Jugendlicher &gt; 40 h/Woche; ","")&amp;IF(AND(ISNUMBER(BD6),BD6&lt;P_Mindestlohn,Q6&lt;&gt;"Auszubildende/r",Q6&lt;&gt;"Praktikant/in"),"Mindestlohn unterschritten?; ","")&amp;IF(AND(Q6="Minijob (geringfügig)",ISNUMBER(BB6),BB6&gt;P_Minijob),"Minijob-Grenze überschritten; ","")&amp;IF(AND(R6="Ja",S6=""),"Befristung ohne Enddatum; ","")&amp;IF(AND(ISNUMBER(O6),ISNUMBER(N6),O6&lt;N6),"Austritt vor Eintritt; ","")&amp;IF(AND(ISNUMBER(AU6),ISNUMBER(AV6),AU6&lt;AV6),"Urlaub unter gesetzl. Minimum; ","")&amp;IF(AND(ISNUMBER(AC6),ISNUMBER(AF6),ABS(N(AC6)-N(AF6))&gt;0.01),"Wochenstd. weichen vom Modell ab; ","")&amp;IF(AND(AI6="Ja",OR(AJ6="",AK6="")),"Kontogrenzen fehlen; ","")&amp;IF(AND(AL6="Mit Gehalt abgegolten (Pauschale)",AM6=""),"Überstunden-Pauschale fehlt; ","")))</f>
        <v/>
      </c>
      <c r="BH6" s="38"/>
    </row>
    <row r="7" customFormat="false" ht="15" hidden="false" customHeight="false" outlineLevel="0" collapsed="false">
      <c r="A7" s="37"/>
      <c r="B7" s="38"/>
      <c r="C7" s="38"/>
      <c r="D7" s="38"/>
      <c r="E7" s="38"/>
      <c r="F7" s="39"/>
      <c r="G7" s="38"/>
      <c r="H7" s="38"/>
      <c r="I7" s="37"/>
      <c r="J7" s="38"/>
      <c r="K7" s="38"/>
      <c r="L7" s="38"/>
      <c r="M7" s="38"/>
      <c r="N7" s="39"/>
      <c r="O7" s="39"/>
      <c r="P7" s="38"/>
      <c r="Q7" s="38"/>
      <c r="R7" s="38"/>
      <c r="S7" s="39"/>
      <c r="T7" s="39"/>
      <c r="U7" s="38"/>
      <c r="V7" s="38"/>
      <c r="W7" s="37"/>
      <c r="X7" s="38"/>
      <c r="Y7" s="38"/>
      <c r="Z7" s="37"/>
      <c r="AA7" s="38"/>
      <c r="AB7" s="38"/>
      <c r="AC7" s="40"/>
      <c r="AD7" s="41"/>
      <c r="AE7" s="42" t="str">
        <f aca="false">IF(OR(A7="",NOT(ISNUMBER(AC7)),NOT(ISNUMBER(AD7))),"",IF(AD7&gt;0,AC7/AD7,""))</f>
        <v/>
      </c>
      <c r="AF7" s="42" t="str">
        <f aca="false">IF(OR(A7="",AB7=""),"",IFERROR(INDEX(Arbeitszeitmodelle!$C$5:$C$34,MATCH(AB7,Arbeitszeitmodelle!$A$5:$A$34,0)),""))</f>
        <v/>
      </c>
      <c r="AG7" s="38"/>
      <c r="AH7" s="38"/>
      <c r="AI7" s="38"/>
      <c r="AJ7" s="41"/>
      <c r="AK7" s="41"/>
      <c r="AL7" s="38"/>
      <c r="AM7" s="41"/>
      <c r="AN7" s="38"/>
      <c r="AO7" s="38"/>
      <c r="AP7" s="38"/>
      <c r="AQ7" s="38"/>
      <c r="AR7" s="41"/>
      <c r="AS7" s="40"/>
      <c r="AT7" s="39"/>
      <c r="AU7" s="41"/>
      <c r="AV7" s="43" t="str">
        <f aca="false">IF(OR(A7="",NOT(ISNUMBER(AD7))),"",P_MinUrlaubWerktage/6*AD7)</f>
        <v/>
      </c>
      <c r="AW7" s="43" t="str">
        <f aca="false">IF(A7="","",IF(M7="Ja",P_ZusatzSB*IF(ISNUMBER(AD7),AD7,5)/5,0))</f>
        <v/>
      </c>
      <c r="AX7" s="41"/>
      <c r="AY7" s="39"/>
      <c r="AZ7" s="43" t="str">
        <f aca="false">IF(OR(A7="",NOT(ISNUMBER(AU7))),"",SUM(AU7,AW7,AX7))</f>
        <v/>
      </c>
      <c r="BA7" s="38"/>
      <c r="BB7" s="44"/>
      <c r="BC7" s="44"/>
      <c r="BD7" s="45" t="str">
        <f aca="false">IF(A7="","",IF(BA7="Stundenlohn",IF(ISNUMBER(BC7),BC7,""),IF(AND(ISNUMBER(BB7),ISNUMBER(AC7)),IF(AC7&gt;0,BB7*12/(AC7*52),""),"")))</f>
        <v/>
      </c>
      <c r="BE7" s="46" t="str">
        <f aca="false">IF(OR(A7="",NOT(ISNUMBER(F7))),"",IFERROR(DATEDIF(F7,P_Stichtag,"Y"),""))</f>
        <v/>
      </c>
      <c r="BF7" s="47" t="str">
        <f aca="false">IF(OR(A7="",NOT(ISNUMBER(BE7))),"",IF(BE7&lt;18,"Ja","Nein"))</f>
        <v/>
      </c>
      <c r="BG7" s="48" t="str">
        <f aca="false">IF(A7="","",IF((IF(OR(B7="",C7="",F7="",N7="",Q7="",AB7="",AC7="",AD7="",AU7=""),"Pflichtfelder fehlen; ","")&amp;IF(AND(ISNUMBER(AC7),AC7&gt;P_MaxWoche),"Wochenstunden &gt; Prüfgrenze; ","")&amp;IF(AND(BF7="Ja",ISNUMBER(AC7),AC7&gt;P_MaxWocheJugend),"Jugendlicher &gt; 40 h/Woche; ","")&amp;IF(AND(ISNUMBER(BD7),BD7&lt;P_Mindestlohn,Q7&lt;&gt;"Auszubildende/r",Q7&lt;&gt;"Praktikant/in"),"Mindestlohn unterschritten?; ","")&amp;IF(AND(Q7="Minijob (geringfügig)",ISNUMBER(BB7),BB7&gt;P_Minijob),"Minijob-Grenze überschritten; ","")&amp;IF(AND(R7="Ja",S7=""),"Befristung ohne Enddatum; ","")&amp;IF(AND(ISNUMBER(O7),ISNUMBER(N7),O7&lt;N7),"Austritt vor Eintritt; ","")&amp;IF(AND(ISNUMBER(AU7),ISNUMBER(AV7),AU7&lt;AV7),"Urlaub unter gesetzl. Minimum; ","")&amp;IF(AND(ISNUMBER(AC7),ISNUMBER(AF7),ABS(N(AC7)-N(AF7))&gt;0.01),"Wochenstd. weichen vom Modell ab; ","")&amp;IF(AND(AI7="Ja",OR(AJ7="",AK7="")),"Kontogrenzen fehlen; ","")&amp;IF(AND(AL7="Mit Gehalt abgegolten (Pauschale)",AM7=""),"Überstunden-Pauschale fehlt; ",""))="","OK",IF(OR(B7="",C7="",F7="",N7="",Q7="",AB7="",AC7="",AD7="",AU7=""),"Pflichtfelder fehlen; ","")&amp;IF(AND(ISNUMBER(AC7),AC7&gt;P_MaxWoche),"Wochenstunden &gt; Prüfgrenze; ","")&amp;IF(AND(BF7="Ja",ISNUMBER(AC7),AC7&gt;P_MaxWocheJugend),"Jugendlicher &gt; 40 h/Woche; ","")&amp;IF(AND(ISNUMBER(BD7),BD7&lt;P_Mindestlohn,Q7&lt;&gt;"Auszubildende/r",Q7&lt;&gt;"Praktikant/in"),"Mindestlohn unterschritten?; ","")&amp;IF(AND(Q7="Minijob (geringfügig)",ISNUMBER(BB7),BB7&gt;P_Minijob),"Minijob-Grenze überschritten; ","")&amp;IF(AND(R7="Ja",S7=""),"Befristung ohne Enddatum; ","")&amp;IF(AND(ISNUMBER(O7),ISNUMBER(N7),O7&lt;N7),"Austritt vor Eintritt; ","")&amp;IF(AND(ISNUMBER(AU7),ISNUMBER(AV7),AU7&lt;AV7),"Urlaub unter gesetzl. Minimum; ","")&amp;IF(AND(ISNUMBER(AC7),ISNUMBER(AF7),ABS(N(AC7)-N(AF7))&gt;0.01),"Wochenstd. weichen vom Modell ab; ","")&amp;IF(AND(AI7="Ja",OR(AJ7="",AK7="")),"Kontogrenzen fehlen; ","")&amp;IF(AND(AL7="Mit Gehalt abgegolten (Pauschale)",AM7=""),"Überstunden-Pauschale fehlt; ","")))</f>
        <v/>
      </c>
      <c r="BH7" s="38"/>
    </row>
    <row r="8" customFormat="false" ht="15" hidden="false" customHeight="false" outlineLevel="0" collapsed="false">
      <c r="A8" s="37"/>
      <c r="B8" s="38"/>
      <c r="C8" s="38"/>
      <c r="D8" s="38"/>
      <c r="E8" s="38"/>
      <c r="F8" s="39"/>
      <c r="G8" s="38"/>
      <c r="H8" s="38"/>
      <c r="I8" s="37"/>
      <c r="J8" s="38"/>
      <c r="K8" s="38"/>
      <c r="L8" s="38"/>
      <c r="M8" s="38"/>
      <c r="N8" s="39"/>
      <c r="O8" s="39"/>
      <c r="P8" s="38"/>
      <c r="Q8" s="38"/>
      <c r="R8" s="38"/>
      <c r="S8" s="39"/>
      <c r="T8" s="39"/>
      <c r="U8" s="38"/>
      <c r="V8" s="38"/>
      <c r="W8" s="37"/>
      <c r="X8" s="38"/>
      <c r="Y8" s="38"/>
      <c r="Z8" s="37"/>
      <c r="AA8" s="38"/>
      <c r="AB8" s="38"/>
      <c r="AC8" s="40"/>
      <c r="AD8" s="41"/>
      <c r="AE8" s="42" t="str">
        <f aca="false">IF(OR(A8="",NOT(ISNUMBER(AC8)),NOT(ISNUMBER(AD8))),"",IF(AD8&gt;0,AC8/AD8,""))</f>
        <v/>
      </c>
      <c r="AF8" s="42" t="str">
        <f aca="false">IF(OR(A8="",AB8=""),"",IFERROR(INDEX(Arbeitszeitmodelle!$C$5:$C$34,MATCH(AB8,Arbeitszeitmodelle!$A$5:$A$34,0)),""))</f>
        <v/>
      </c>
      <c r="AG8" s="38"/>
      <c r="AH8" s="38"/>
      <c r="AI8" s="38"/>
      <c r="AJ8" s="41"/>
      <c r="AK8" s="41"/>
      <c r="AL8" s="38"/>
      <c r="AM8" s="41"/>
      <c r="AN8" s="38"/>
      <c r="AO8" s="38"/>
      <c r="AP8" s="38"/>
      <c r="AQ8" s="38"/>
      <c r="AR8" s="41"/>
      <c r="AS8" s="40"/>
      <c r="AT8" s="39"/>
      <c r="AU8" s="41"/>
      <c r="AV8" s="43" t="str">
        <f aca="false">IF(OR(A8="",NOT(ISNUMBER(AD8))),"",P_MinUrlaubWerktage/6*AD8)</f>
        <v/>
      </c>
      <c r="AW8" s="43" t="str">
        <f aca="false">IF(A8="","",IF(M8="Ja",P_ZusatzSB*IF(ISNUMBER(AD8),AD8,5)/5,0))</f>
        <v/>
      </c>
      <c r="AX8" s="41"/>
      <c r="AY8" s="39"/>
      <c r="AZ8" s="43" t="str">
        <f aca="false">IF(OR(A8="",NOT(ISNUMBER(AU8))),"",SUM(AU8,AW8,AX8))</f>
        <v/>
      </c>
      <c r="BA8" s="38"/>
      <c r="BB8" s="44"/>
      <c r="BC8" s="44"/>
      <c r="BD8" s="45" t="str">
        <f aca="false">IF(A8="","",IF(BA8="Stundenlohn",IF(ISNUMBER(BC8),BC8,""),IF(AND(ISNUMBER(BB8),ISNUMBER(AC8)),IF(AC8&gt;0,BB8*12/(AC8*52),""),"")))</f>
        <v/>
      </c>
      <c r="BE8" s="46" t="str">
        <f aca="false">IF(OR(A8="",NOT(ISNUMBER(F8))),"",IFERROR(DATEDIF(F8,P_Stichtag,"Y"),""))</f>
        <v/>
      </c>
      <c r="BF8" s="47" t="str">
        <f aca="false">IF(OR(A8="",NOT(ISNUMBER(BE8))),"",IF(BE8&lt;18,"Ja","Nein"))</f>
        <v/>
      </c>
      <c r="BG8" s="48" t="str">
        <f aca="false">IF(A8="","",IF((IF(OR(B8="",C8="",F8="",N8="",Q8="",AB8="",AC8="",AD8="",AU8=""),"Pflichtfelder fehlen; ","")&amp;IF(AND(ISNUMBER(AC8),AC8&gt;P_MaxWoche),"Wochenstunden &gt; Prüfgrenze; ","")&amp;IF(AND(BF8="Ja",ISNUMBER(AC8),AC8&gt;P_MaxWocheJugend),"Jugendlicher &gt; 40 h/Woche; ","")&amp;IF(AND(ISNUMBER(BD8),BD8&lt;P_Mindestlohn,Q8&lt;&gt;"Auszubildende/r",Q8&lt;&gt;"Praktikant/in"),"Mindestlohn unterschritten?; ","")&amp;IF(AND(Q8="Minijob (geringfügig)",ISNUMBER(BB8),BB8&gt;P_Minijob),"Minijob-Grenze überschritten; ","")&amp;IF(AND(R8="Ja",S8=""),"Befristung ohne Enddatum; ","")&amp;IF(AND(ISNUMBER(O8),ISNUMBER(N8),O8&lt;N8),"Austritt vor Eintritt; ","")&amp;IF(AND(ISNUMBER(AU8),ISNUMBER(AV8),AU8&lt;AV8),"Urlaub unter gesetzl. Minimum; ","")&amp;IF(AND(ISNUMBER(AC8),ISNUMBER(AF8),ABS(N(AC8)-N(AF8))&gt;0.01),"Wochenstd. weichen vom Modell ab; ","")&amp;IF(AND(AI8="Ja",OR(AJ8="",AK8="")),"Kontogrenzen fehlen; ","")&amp;IF(AND(AL8="Mit Gehalt abgegolten (Pauschale)",AM8=""),"Überstunden-Pauschale fehlt; ",""))="","OK",IF(OR(B8="",C8="",F8="",N8="",Q8="",AB8="",AC8="",AD8="",AU8=""),"Pflichtfelder fehlen; ","")&amp;IF(AND(ISNUMBER(AC8),AC8&gt;P_MaxWoche),"Wochenstunden &gt; Prüfgrenze; ","")&amp;IF(AND(BF8="Ja",ISNUMBER(AC8),AC8&gt;P_MaxWocheJugend),"Jugendlicher &gt; 40 h/Woche; ","")&amp;IF(AND(ISNUMBER(BD8),BD8&lt;P_Mindestlohn,Q8&lt;&gt;"Auszubildende/r",Q8&lt;&gt;"Praktikant/in"),"Mindestlohn unterschritten?; ","")&amp;IF(AND(Q8="Minijob (geringfügig)",ISNUMBER(BB8),BB8&gt;P_Minijob),"Minijob-Grenze überschritten; ","")&amp;IF(AND(R8="Ja",S8=""),"Befristung ohne Enddatum; ","")&amp;IF(AND(ISNUMBER(O8),ISNUMBER(N8),O8&lt;N8),"Austritt vor Eintritt; ","")&amp;IF(AND(ISNUMBER(AU8),ISNUMBER(AV8),AU8&lt;AV8),"Urlaub unter gesetzl. Minimum; ","")&amp;IF(AND(ISNUMBER(AC8),ISNUMBER(AF8),ABS(N(AC8)-N(AF8))&gt;0.01),"Wochenstd. weichen vom Modell ab; ","")&amp;IF(AND(AI8="Ja",OR(AJ8="",AK8="")),"Kontogrenzen fehlen; ","")&amp;IF(AND(AL8="Mit Gehalt abgegolten (Pauschale)",AM8=""),"Überstunden-Pauschale fehlt; ","")))</f>
        <v/>
      </c>
      <c r="BH8" s="38"/>
    </row>
    <row r="9" customFormat="false" ht="15" hidden="false" customHeight="false" outlineLevel="0" collapsed="false">
      <c r="A9" s="37"/>
      <c r="B9" s="38"/>
      <c r="C9" s="38"/>
      <c r="D9" s="38"/>
      <c r="E9" s="38"/>
      <c r="F9" s="39"/>
      <c r="G9" s="38"/>
      <c r="H9" s="38"/>
      <c r="I9" s="37"/>
      <c r="J9" s="38"/>
      <c r="K9" s="38"/>
      <c r="L9" s="38"/>
      <c r="M9" s="38"/>
      <c r="N9" s="39"/>
      <c r="O9" s="39"/>
      <c r="P9" s="38"/>
      <c r="Q9" s="38"/>
      <c r="R9" s="38"/>
      <c r="S9" s="39"/>
      <c r="T9" s="39"/>
      <c r="U9" s="38"/>
      <c r="V9" s="38"/>
      <c r="W9" s="37"/>
      <c r="X9" s="38"/>
      <c r="Y9" s="38"/>
      <c r="Z9" s="37"/>
      <c r="AA9" s="38"/>
      <c r="AB9" s="38"/>
      <c r="AC9" s="40"/>
      <c r="AD9" s="41"/>
      <c r="AE9" s="42" t="str">
        <f aca="false">IF(OR(A9="",NOT(ISNUMBER(AC9)),NOT(ISNUMBER(AD9))),"",IF(AD9&gt;0,AC9/AD9,""))</f>
        <v/>
      </c>
      <c r="AF9" s="42" t="str">
        <f aca="false">IF(OR(A9="",AB9=""),"",IFERROR(INDEX(Arbeitszeitmodelle!$C$5:$C$34,MATCH(AB9,Arbeitszeitmodelle!$A$5:$A$34,0)),""))</f>
        <v/>
      </c>
      <c r="AG9" s="38"/>
      <c r="AH9" s="38"/>
      <c r="AI9" s="38"/>
      <c r="AJ9" s="41"/>
      <c r="AK9" s="41"/>
      <c r="AL9" s="38"/>
      <c r="AM9" s="41"/>
      <c r="AN9" s="38"/>
      <c r="AO9" s="38"/>
      <c r="AP9" s="38"/>
      <c r="AQ9" s="38"/>
      <c r="AR9" s="41"/>
      <c r="AS9" s="40"/>
      <c r="AT9" s="39"/>
      <c r="AU9" s="41"/>
      <c r="AV9" s="43" t="str">
        <f aca="false">IF(OR(A9="",NOT(ISNUMBER(AD9))),"",P_MinUrlaubWerktage/6*AD9)</f>
        <v/>
      </c>
      <c r="AW9" s="43" t="str">
        <f aca="false">IF(A9="","",IF(M9="Ja",P_ZusatzSB*IF(ISNUMBER(AD9),AD9,5)/5,0))</f>
        <v/>
      </c>
      <c r="AX9" s="41"/>
      <c r="AY9" s="39"/>
      <c r="AZ9" s="43" t="str">
        <f aca="false">IF(OR(A9="",NOT(ISNUMBER(AU9))),"",SUM(AU9,AW9,AX9))</f>
        <v/>
      </c>
      <c r="BA9" s="38"/>
      <c r="BB9" s="44"/>
      <c r="BC9" s="44"/>
      <c r="BD9" s="45" t="str">
        <f aca="false">IF(A9="","",IF(BA9="Stundenlohn",IF(ISNUMBER(BC9),BC9,""),IF(AND(ISNUMBER(BB9),ISNUMBER(AC9)),IF(AC9&gt;0,BB9*12/(AC9*52),""),"")))</f>
        <v/>
      </c>
      <c r="BE9" s="46" t="str">
        <f aca="false">IF(OR(A9="",NOT(ISNUMBER(F9))),"",IFERROR(DATEDIF(F9,P_Stichtag,"Y"),""))</f>
        <v/>
      </c>
      <c r="BF9" s="47" t="str">
        <f aca="false">IF(OR(A9="",NOT(ISNUMBER(BE9))),"",IF(BE9&lt;18,"Ja","Nein"))</f>
        <v/>
      </c>
      <c r="BG9" s="48" t="str">
        <f aca="false">IF(A9="","",IF((IF(OR(B9="",C9="",F9="",N9="",Q9="",AB9="",AC9="",AD9="",AU9=""),"Pflichtfelder fehlen; ","")&amp;IF(AND(ISNUMBER(AC9),AC9&gt;P_MaxWoche),"Wochenstunden &gt; Prüfgrenze; ","")&amp;IF(AND(BF9="Ja",ISNUMBER(AC9),AC9&gt;P_MaxWocheJugend),"Jugendlicher &gt; 40 h/Woche; ","")&amp;IF(AND(ISNUMBER(BD9),BD9&lt;P_Mindestlohn,Q9&lt;&gt;"Auszubildende/r",Q9&lt;&gt;"Praktikant/in"),"Mindestlohn unterschritten?; ","")&amp;IF(AND(Q9="Minijob (geringfügig)",ISNUMBER(BB9),BB9&gt;P_Minijob),"Minijob-Grenze überschritten; ","")&amp;IF(AND(R9="Ja",S9=""),"Befristung ohne Enddatum; ","")&amp;IF(AND(ISNUMBER(O9),ISNUMBER(N9),O9&lt;N9),"Austritt vor Eintritt; ","")&amp;IF(AND(ISNUMBER(AU9),ISNUMBER(AV9),AU9&lt;AV9),"Urlaub unter gesetzl. Minimum; ","")&amp;IF(AND(ISNUMBER(AC9),ISNUMBER(AF9),ABS(N(AC9)-N(AF9))&gt;0.01),"Wochenstd. weichen vom Modell ab; ","")&amp;IF(AND(AI9="Ja",OR(AJ9="",AK9="")),"Kontogrenzen fehlen; ","")&amp;IF(AND(AL9="Mit Gehalt abgegolten (Pauschale)",AM9=""),"Überstunden-Pauschale fehlt; ",""))="","OK",IF(OR(B9="",C9="",F9="",N9="",Q9="",AB9="",AC9="",AD9="",AU9=""),"Pflichtfelder fehlen; ","")&amp;IF(AND(ISNUMBER(AC9),AC9&gt;P_MaxWoche),"Wochenstunden &gt; Prüfgrenze; ","")&amp;IF(AND(BF9="Ja",ISNUMBER(AC9),AC9&gt;P_MaxWocheJugend),"Jugendlicher &gt; 40 h/Woche; ","")&amp;IF(AND(ISNUMBER(BD9),BD9&lt;P_Mindestlohn,Q9&lt;&gt;"Auszubildende/r",Q9&lt;&gt;"Praktikant/in"),"Mindestlohn unterschritten?; ","")&amp;IF(AND(Q9="Minijob (geringfügig)",ISNUMBER(BB9),BB9&gt;P_Minijob),"Minijob-Grenze überschritten; ","")&amp;IF(AND(R9="Ja",S9=""),"Befristung ohne Enddatum; ","")&amp;IF(AND(ISNUMBER(O9),ISNUMBER(N9),O9&lt;N9),"Austritt vor Eintritt; ","")&amp;IF(AND(ISNUMBER(AU9),ISNUMBER(AV9),AU9&lt;AV9),"Urlaub unter gesetzl. Minimum; ","")&amp;IF(AND(ISNUMBER(AC9),ISNUMBER(AF9),ABS(N(AC9)-N(AF9))&gt;0.01),"Wochenstd. weichen vom Modell ab; ","")&amp;IF(AND(AI9="Ja",OR(AJ9="",AK9="")),"Kontogrenzen fehlen; ","")&amp;IF(AND(AL9="Mit Gehalt abgegolten (Pauschale)",AM9=""),"Überstunden-Pauschale fehlt; ","")))</f>
        <v/>
      </c>
      <c r="BH9" s="38"/>
    </row>
    <row r="10" customFormat="false" ht="15" hidden="false" customHeight="false" outlineLevel="0" collapsed="false">
      <c r="A10" s="37"/>
      <c r="B10" s="38"/>
      <c r="C10" s="38"/>
      <c r="D10" s="38"/>
      <c r="E10" s="38"/>
      <c r="F10" s="39"/>
      <c r="G10" s="38"/>
      <c r="H10" s="38"/>
      <c r="I10" s="37"/>
      <c r="J10" s="38"/>
      <c r="K10" s="38"/>
      <c r="L10" s="38"/>
      <c r="M10" s="38"/>
      <c r="N10" s="39"/>
      <c r="O10" s="39"/>
      <c r="P10" s="38"/>
      <c r="Q10" s="38"/>
      <c r="R10" s="38"/>
      <c r="S10" s="39"/>
      <c r="T10" s="39"/>
      <c r="U10" s="38"/>
      <c r="V10" s="38"/>
      <c r="W10" s="37"/>
      <c r="X10" s="38"/>
      <c r="Y10" s="38"/>
      <c r="Z10" s="37"/>
      <c r="AA10" s="38"/>
      <c r="AB10" s="38"/>
      <c r="AC10" s="40"/>
      <c r="AD10" s="41"/>
      <c r="AE10" s="42" t="str">
        <f aca="false">IF(OR(A10="",NOT(ISNUMBER(AC10)),NOT(ISNUMBER(AD10))),"",IF(AD10&gt;0,AC10/AD10,""))</f>
        <v/>
      </c>
      <c r="AF10" s="42" t="str">
        <f aca="false">IF(OR(A10="",AB10=""),"",IFERROR(INDEX(Arbeitszeitmodelle!$C$5:$C$34,MATCH(AB10,Arbeitszeitmodelle!$A$5:$A$34,0)),""))</f>
        <v/>
      </c>
      <c r="AG10" s="38"/>
      <c r="AH10" s="38"/>
      <c r="AI10" s="38"/>
      <c r="AJ10" s="41"/>
      <c r="AK10" s="41"/>
      <c r="AL10" s="38"/>
      <c r="AM10" s="41"/>
      <c r="AN10" s="38"/>
      <c r="AO10" s="38"/>
      <c r="AP10" s="38"/>
      <c r="AQ10" s="38"/>
      <c r="AR10" s="41"/>
      <c r="AS10" s="40"/>
      <c r="AT10" s="39"/>
      <c r="AU10" s="41"/>
      <c r="AV10" s="43" t="str">
        <f aca="false">IF(OR(A10="",NOT(ISNUMBER(AD10))),"",P_MinUrlaubWerktage/6*AD10)</f>
        <v/>
      </c>
      <c r="AW10" s="43" t="str">
        <f aca="false">IF(A10="","",IF(M10="Ja",P_ZusatzSB*IF(ISNUMBER(AD10),AD10,5)/5,0))</f>
        <v/>
      </c>
      <c r="AX10" s="41"/>
      <c r="AY10" s="39"/>
      <c r="AZ10" s="43" t="str">
        <f aca="false">IF(OR(A10="",NOT(ISNUMBER(AU10))),"",SUM(AU10,AW10,AX10))</f>
        <v/>
      </c>
      <c r="BA10" s="38"/>
      <c r="BB10" s="44"/>
      <c r="BC10" s="44"/>
      <c r="BD10" s="45" t="str">
        <f aca="false">IF(A10="","",IF(BA10="Stundenlohn",IF(ISNUMBER(BC10),BC10,""),IF(AND(ISNUMBER(BB10),ISNUMBER(AC10)),IF(AC10&gt;0,BB10*12/(AC10*52),""),"")))</f>
        <v/>
      </c>
      <c r="BE10" s="46" t="str">
        <f aca="false">IF(OR(A10="",NOT(ISNUMBER(F10))),"",IFERROR(DATEDIF(F10,P_Stichtag,"Y"),""))</f>
        <v/>
      </c>
      <c r="BF10" s="47" t="str">
        <f aca="false">IF(OR(A10="",NOT(ISNUMBER(BE10))),"",IF(BE10&lt;18,"Ja","Nein"))</f>
        <v/>
      </c>
      <c r="BG10" s="48" t="str">
        <f aca="false">IF(A10="","",IF((IF(OR(B10="",C10="",F10="",N10="",Q10="",AB10="",AC10="",AD10="",AU10=""),"Pflichtfelder fehlen; ","")&amp;IF(AND(ISNUMBER(AC10),AC10&gt;P_MaxWoche),"Wochenstunden &gt; Prüfgrenze; ","")&amp;IF(AND(BF10="Ja",ISNUMBER(AC10),AC10&gt;P_MaxWocheJugend),"Jugendlicher &gt; 40 h/Woche; ","")&amp;IF(AND(ISNUMBER(BD10),BD10&lt;P_Mindestlohn,Q10&lt;&gt;"Auszubildende/r",Q10&lt;&gt;"Praktikant/in"),"Mindestlohn unterschritten?; ","")&amp;IF(AND(Q10="Minijob (geringfügig)",ISNUMBER(BB10),BB10&gt;P_Minijob),"Minijob-Grenze überschritten; ","")&amp;IF(AND(R10="Ja",S10=""),"Befristung ohne Enddatum; ","")&amp;IF(AND(ISNUMBER(O10),ISNUMBER(N10),O10&lt;N10),"Austritt vor Eintritt; ","")&amp;IF(AND(ISNUMBER(AU10),ISNUMBER(AV10),AU10&lt;AV10),"Urlaub unter gesetzl. Minimum; ","")&amp;IF(AND(ISNUMBER(AC10),ISNUMBER(AF10),ABS(N(AC10)-N(AF10))&gt;0.01),"Wochenstd. weichen vom Modell ab; ","")&amp;IF(AND(AI10="Ja",OR(AJ10="",AK10="")),"Kontogrenzen fehlen; ","")&amp;IF(AND(AL10="Mit Gehalt abgegolten (Pauschale)",AM10=""),"Überstunden-Pauschale fehlt; ",""))="","OK",IF(OR(B10="",C10="",F10="",N10="",Q10="",AB10="",AC10="",AD10="",AU10=""),"Pflichtfelder fehlen; ","")&amp;IF(AND(ISNUMBER(AC10),AC10&gt;P_MaxWoche),"Wochenstunden &gt; Prüfgrenze; ","")&amp;IF(AND(BF10="Ja",ISNUMBER(AC10),AC10&gt;P_MaxWocheJugend),"Jugendlicher &gt; 40 h/Woche; ","")&amp;IF(AND(ISNUMBER(BD10),BD10&lt;P_Mindestlohn,Q10&lt;&gt;"Auszubildende/r",Q10&lt;&gt;"Praktikant/in"),"Mindestlohn unterschritten?; ","")&amp;IF(AND(Q10="Minijob (geringfügig)",ISNUMBER(BB10),BB10&gt;P_Minijob),"Minijob-Grenze überschritten; ","")&amp;IF(AND(R10="Ja",S10=""),"Befristung ohne Enddatum; ","")&amp;IF(AND(ISNUMBER(O10),ISNUMBER(N10),O10&lt;N10),"Austritt vor Eintritt; ","")&amp;IF(AND(ISNUMBER(AU10),ISNUMBER(AV10),AU10&lt;AV10),"Urlaub unter gesetzl. Minimum; ","")&amp;IF(AND(ISNUMBER(AC10),ISNUMBER(AF10),ABS(N(AC10)-N(AF10))&gt;0.01),"Wochenstd. weichen vom Modell ab; ","")&amp;IF(AND(AI10="Ja",OR(AJ10="",AK10="")),"Kontogrenzen fehlen; ","")&amp;IF(AND(AL10="Mit Gehalt abgegolten (Pauschale)",AM10=""),"Überstunden-Pauschale fehlt; ","")))</f>
        <v/>
      </c>
      <c r="BH10" s="38"/>
    </row>
    <row r="11" customFormat="false" ht="15" hidden="false" customHeight="false" outlineLevel="0" collapsed="false">
      <c r="A11" s="37"/>
      <c r="B11" s="38"/>
      <c r="C11" s="38"/>
      <c r="D11" s="38"/>
      <c r="E11" s="38"/>
      <c r="F11" s="39"/>
      <c r="G11" s="38"/>
      <c r="H11" s="38"/>
      <c r="I11" s="37"/>
      <c r="J11" s="38"/>
      <c r="K11" s="38"/>
      <c r="L11" s="38"/>
      <c r="M11" s="38"/>
      <c r="N11" s="39"/>
      <c r="O11" s="39"/>
      <c r="P11" s="38"/>
      <c r="Q11" s="38"/>
      <c r="R11" s="38"/>
      <c r="S11" s="39"/>
      <c r="T11" s="39"/>
      <c r="U11" s="38"/>
      <c r="V11" s="38"/>
      <c r="W11" s="37"/>
      <c r="X11" s="38"/>
      <c r="Y11" s="38"/>
      <c r="Z11" s="37"/>
      <c r="AA11" s="38"/>
      <c r="AB11" s="38"/>
      <c r="AC11" s="40"/>
      <c r="AD11" s="41"/>
      <c r="AE11" s="42" t="str">
        <f aca="false">IF(OR(A11="",NOT(ISNUMBER(AC11)),NOT(ISNUMBER(AD11))),"",IF(AD11&gt;0,AC11/AD11,""))</f>
        <v/>
      </c>
      <c r="AF11" s="42" t="str">
        <f aca="false">IF(OR(A11="",AB11=""),"",IFERROR(INDEX(Arbeitszeitmodelle!$C$5:$C$34,MATCH(AB11,Arbeitszeitmodelle!$A$5:$A$34,0)),""))</f>
        <v/>
      </c>
      <c r="AG11" s="38"/>
      <c r="AH11" s="38"/>
      <c r="AI11" s="38"/>
      <c r="AJ11" s="41"/>
      <c r="AK11" s="41"/>
      <c r="AL11" s="38"/>
      <c r="AM11" s="41"/>
      <c r="AN11" s="38"/>
      <c r="AO11" s="38"/>
      <c r="AP11" s="38"/>
      <c r="AQ11" s="38"/>
      <c r="AR11" s="41"/>
      <c r="AS11" s="40"/>
      <c r="AT11" s="39"/>
      <c r="AU11" s="41"/>
      <c r="AV11" s="43" t="str">
        <f aca="false">IF(OR(A11="",NOT(ISNUMBER(AD11))),"",P_MinUrlaubWerktage/6*AD11)</f>
        <v/>
      </c>
      <c r="AW11" s="43" t="str">
        <f aca="false">IF(A11="","",IF(M11="Ja",P_ZusatzSB*IF(ISNUMBER(AD11),AD11,5)/5,0))</f>
        <v/>
      </c>
      <c r="AX11" s="41"/>
      <c r="AY11" s="39"/>
      <c r="AZ11" s="43" t="str">
        <f aca="false">IF(OR(A11="",NOT(ISNUMBER(AU11))),"",SUM(AU11,AW11,AX11))</f>
        <v/>
      </c>
      <c r="BA11" s="38"/>
      <c r="BB11" s="44"/>
      <c r="BC11" s="44"/>
      <c r="BD11" s="45" t="str">
        <f aca="false">IF(A11="","",IF(BA11="Stundenlohn",IF(ISNUMBER(BC11),BC11,""),IF(AND(ISNUMBER(BB11),ISNUMBER(AC11)),IF(AC11&gt;0,BB11*12/(AC11*52),""),"")))</f>
        <v/>
      </c>
      <c r="BE11" s="46" t="str">
        <f aca="false">IF(OR(A11="",NOT(ISNUMBER(F11))),"",IFERROR(DATEDIF(F11,P_Stichtag,"Y"),""))</f>
        <v/>
      </c>
      <c r="BF11" s="47" t="str">
        <f aca="false">IF(OR(A11="",NOT(ISNUMBER(BE11))),"",IF(BE11&lt;18,"Ja","Nein"))</f>
        <v/>
      </c>
      <c r="BG11" s="48" t="str">
        <f aca="false">IF(A11="","",IF((IF(OR(B11="",C11="",F11="",N11="",Q11="",AB11="",AC11="",AD11="",AU11=""),"Pflichtfelder fehlen; ","")&amp;IF(AND(ISNUMBER(AC11),AC11&gt;P_MaxWoche),"Wochenstunden &gt; Prüfgrenze; ","")&amp;IF(AND(BF11="Ja",ISNUMBER(AC11),AC11&gt;P_MaxWocheJugend),"Jugendlicher &gt; 40 h/Woche; ","")&amp;IF(AND(ISNUMBER(BD11),BD11&lt;P_Mindestlohn,Q11&lt;&gt;"Auszubildende/r",Q11&lt;&gt;"Praktikant/in"),"Mindestlohn unterschritten?; ","")&amp;IF(AND(Q11="Minijob (geringfügig)",ISNUMBER(BB11),BB11&gt;P_Minijob),"Minijob-Grenze überschritten; ","")&amp;IF(AND(R11="Ja",S11=""),"Befristung ohne Enddatum; ","")&amp;IF(AND(ISNUMBER(O11),ISNUMBER(N11),O11&lt;N11),"Austritt vor Eintritt; ","")&amp;IF(AND(ISNUMBER(AU11),ISNUMBER(AV11),AU11&lt;AV11),"Urlaub unter gesetzl. Minimum; ","")&amp;IF(AND(ISNUMBER(AC11),ISNUMBER(AF11),ABS(N(AC11)-N(AF11))&gt;0.01),"Wochenstd. weichen vom Modell ab; ","")&amp;IF(AND(AI11="Ja",OR(AJ11="",AK11="")),"Kontogrenzen fehlen; ","")&amp;IF(AND(AL11="Mit Gehalt abgegolten (Pauschale)",AM11=""),"Überstunden-Pauschale fehlt; ",""))="","OK",IF(OR(B11="",C11="",F11="",N11="",Q11="",AB11="",AC11="",AD11="",AU11=""),"Pflichtfelder fehlen; ","")&amp;IF(AND(ISNUMBER(AC11),AC11&gt;P_MaxWoche),"Wochenstunden &gt; Prüfgrenze; ","")&amp;IF(AND(BF11="Ja",ISNUMBER(AC11),AC11&gt;P_MaxWocheJugend),"Jugendlicher &gt; 40 h/Woche; ","")&amp;IF(AND(ISNUMBER(BD11),BD11&lt;P_Mindestlohn,Q11&lt;&gt;"Auszubildende/r",Q11&lt;&gt;"Praktikant/in"),"Mindestlohn unterschritten?; ","")&amp;IF(AND(Q11="Minijob (geringfügig)",ISNUMBER(BB11),BB11&gt;P_Minijob),"Minijob-Grenze überschritten; ","")&amp;IF(AND(R11="Ja",S11=""),"Befristung ohne Enddatum; ","")&amp;IF(AND(ISNUMBER(O11),ISNUMBER(N11),O11&lt;N11),"Austritt vor Eintritt; ","")&amp;IF(AND(ISNUMBER(AU11),ISNUMBER(AV11),AU11&lt;AV11),"Urlaub unter gesetzl. Minimum; ","")&amp;IF(AND(ISNUMBER(AC11),ISNUMBER(AF11),ABS(N(AC11)-N(AF11))&gt;0.01),"Wochenstd. weichen vom Modell ab; ","")&amp;IF(AND(AI11="Ja",OR(AJ11="",AK11="")),"Kontogrenzen fehlen; ","")&amp;IF(AND(AL11="Mit Gehalt abgegolten (Pauschale)",AM11=""),"Überstunden-Pauschale fehlt; ","")))</f>
        <v/>
      </c>
      <c r="BH11" s="38"/>
    </row>
    <row r="12" customFormat="false" ht="15" hidden="false" customHeight="false" outlineLevel="0" collapsed="false">
      <c r="A12" s="37"/>
      <c r="B12" s="38"/>
      <c r="C12" s="38"/>
      <c r="D12" s="38"/>
      <c r="E12" s="38"/>
      <c r="F12" s="39"/>
      <c r="G12" s="38"/>
      <c r="H12" s="38"/>
      <c r="I12" s="37"/>
      <c r="J12" s="38"/>
      <c r="K12" s="38"/>
      <c r="L12" s="38"/>
      <c r="M12" s="38"/>
      <c r="N12" s="39"/>
      <c r="O12" s="39"/>
      <c r="P12" s="38"/>
      <c r="Q12" s="38"/>
      <c r="R12" s="38"/>
      <c r="S12" s="39"/>
      <c r="T12" s="39"/>
      <c r="U12" s="38"/>
      <c r="V12" s="38"/>
      <c r="W12" s="37"/>
      <c r="X12" s="38"/>
      <c r="Y12" s="38"/>
      <c r="Z12" s="37"/>
      <c r="AA12" s="38"/>
      <c r="AB12" s="38"/>
      <c r="AC12" s="40"/>
      <c r="AD12" s="41"/>
      <c r="AE12" s="42" t="str">
        <f aca="false">IF(OR(A12="",NOT(ISNUMBER(AC12)),NOT(ISNUMBER(AD12))),"",IF(AD12&gt;0,AC12/AD12,""))</f>
        <v/>
      </c>
      <c r="AF12" s="42" t="str">
        <f aca="false">IF(OR(A12="",AB12=""),"",IFERROR(INDEX(Arbeitszeitmodelle!$C$5:$C$34,MATCH(AB12,Arbeitszeitmodelle!$A$5:$A$34,0)),""))</f>
        <v/>
      </c>
      <c r="AG12" s="38"/>
      <c r="AH12" s="38"/>
      <c r="AI12" s="38"/>
      <c r="AJ12" s="41"/>
      <c r="AK12" s="41"/>
      <c r="AL12" s="38"/>
      <c r="AM12" s="41"/>
      <c r="AN12" s="38"/>
      <c r="AO12" s="38"/>
      <c r="AP12" s="38"/>
      <c r="AQ12" s="38"/>
      <c r="AR12" s="41"/>
      <c r="AS12" s="40"/>
      <c r="AT12" s="39"/>
      <c r="AU12" s="41"/>
      <c r="AV12" s="43" t="str">
        <f aca="false">IF(OR(A12="",NOT(ISNUMBER(AD12))),"",P_MinUrlaubWerktage/6*AD12)</f>
        <v/>
      </c>
      <c r="AW12" s="43" t="str">
        <f aca="false">IF(A12="","",IF(M12="Ja",P_ZusatzSB*IF(ISNUMBER(AD12),AD12,5)/5,0))</f>
        <v/>
      </c>
      <c r="AX12" s="41"/>
      <c r="AY12" s="39"/>
      <c r="AZ12" s="43" t="str">
        <f aca="false">IF(OR(A12="",NOT(ISNUMBER(AU12))),"",SUM(AU12,AW12,AX12))</f>
        <v/>
      </c>
      <c r="BA12" s="38"/>
      <c r="BB12" s="44"/>
      <c r="BC12" s="44"/>
      <c r="BD12" s="45" t="str">
        <f aca="false">IF(A12="","",IF(BA12="Stundenlohn",IF(ISNUMBER(BC12),BC12,""),IF(AND(ISNUMBER(BB12),ISNUMBER(AC12)),IF(AC12&gt;0,BB12*12/(AC12*52),""),"")))</f>
        <v/>
      </c>
      <c r="BE12" s="46" t="str">
        <f aca="false">IF(OR(A12="",NOT(ISNUMBER(F12))),"",IFERROR(DATEDIF(F12,P_Stichtag,"Y"),""))</f>
        <v/>
      </c>
      <c r="BF12" s="47" t="str">
        <f aca="false">IF(OR(A12="",NOT(ISNUMBER(BE12))),"",IF(BE12&lt;18,"Ja","Nein"))</f>
        <v/>
      </c>
      <c r="BG12" s="48" t="str">
        <f aca="false">IF(A12="","",IF((IF(OR(B12="",C12="",F12="",N12="",Q12="",AB12="",AC12="",AD12="",AU12=""),"Pflichtfelder fehlen; ","")&amp;IF(AND(ISNUMBER(AC12),AC12&gt;P_MaxWoche),"Wochenstunden &gt; Prüfgrenze; ","")&amp;IF(AND(BF12="Ja",ISNUMBER(AC12),AC12&gt;P_MaxWocheJugend),"Jugendlicher &gt; 40 h/Woche; ","")&amp;IF(AND(ISNUMBER(BD12),BD12&lt;P_Mindestlohn,Q12&lt;&gt;"Auszubildende/r",Q12&lt;&gt;"Praktikant/in"),"Mindestlohn unterschritten?; ","")&amp;IF(AND(Q12="Minijob (geringfügig)",ISNUMBER(BB12),BB12&gt;P_Minijob),"Minijob-Grenze überschritten; ","")&amp;IF(AND(R12="Ja",S12=""),"Befristung ohne Enddatum; ","")&amp;IF(AND(ISNUMBER(O12),ISNUMBER(N12),O12&lt;N12),"Austritt vor Eintritt; ","")&amp;IF(AND(ISNUMBER(AU12),ISNUMBER(AV12),AU12&lt;AV12),"Urlaub unter gesetzl. Minimum; ","")&amp;IF(AND(ISNUMBER(AC12),ISNUMBER(AF12),ABS(N(AC12)-N(AF12))&gt;0.01),"Wochenstd. weichen vom Modell ab; ","")&amp;IF(AND(AI12="Ja",OR(AJ12="",AK12="")),"Kontogrenzen fehlen; ","")&amp;IF(AND(AL12="Mit Gehalt abgegolten (Pauschale)",AM12=""),"Überstunden-Pauschale fehlt; ",""))="","OK",IF(OR(B12="",C12="",F12="",N12="",Q12="",AB12="",AC12="",AD12="",AU12=""),"Pflichtfelder fehlen; ","")&amp;IF(AND(ISNUMBER(AC12),AC12&gt;P_MaxWoche),"Wochenstunden &gt; Prüfgrenze; ","")&amp;IF(AND(BF12="Ja",ISNUMBER(AC12),AC12&gt;P_MaxWocheJugend),"Jugendlicher &gt; 40 h/Woche; ","")&amp;IF(AND(ISNUMBER(BD12),BD12&lt;P_Mindestlohn,Q12&lt;&gt;"Auszubildende/r",Q12&lt;&gt;"Praktikant/in"),"Mindestlohn unterschritten?; ","")&amp;IF(AND(Q12="Minijob (geringfügig)",ISNUMBER(BB12),BB12&gt;P_Minijob),"Minijob-Grenze überschritten; ","")&amp;IF(AND(R12="Ja",S12=""),"Befristung ohne Enddatum; ","")&amp;IF(AND(ISNUMBER(O12),ISNUMBER(N12),O12&lt;N12),"Austritt vor Eintritt; ","")&amp;IF(AND(ISNUMBER(AU12),ISNUMBER(AV12),AU12&lt;AV12),"Urlaub unter gesetzl. Minimum; ","")&amp;IF(AND(ISNUMBER(AC12),ISNUMBER(AF12),ABS(N(AC12)-N(AF12))&gt;0.01),"Wochenstd. weichen vom Modell ab; ","")&amp;IF(AND(AI12="Ja",OR(AJ12="",AK12="")),"Kontogrenzen fehlen; ","")&amp;IF(AND(AL12="Mit Gehalt abgegolten (Pauschale)",AM12=""),"Überstunden-Pauschale fehlt; ","")))</f>
        <v/>
      </c>
      <c r="BH12" s="38"/>
    </row>
    <row r="13" customFormat="false" ht="15" hidden="false" customHeight="false" outlineLevel="0" collapsed="false">
      <c r="A13" s="37"/>
      <c r="B13" s="38"/>
      <c r="C13" s="38"/>
      <c r="D13" s="38"/>
      <c r="E13" s="38"/>
      <c r="F13" s="39"/>
      <c r="G13" s="38"/>
      <c r="H13" s="38"/>
      <c r="I13" s="37"/>
      <c r="J13" s="38"/>
      <c r="K13" s="38"/>
      <c r="L13" s="38"/>
      <c r="M13" s="38"/>
      <c r="N13" s="39"/>
      <c r="O13" s="39"/>
      <c r="P13" s="38"/>
      <c r="Q13" s="38"/>
      <c r="R13" s="38"/>
      <c r="S13" s="39"/>
      <c r="T13" s="39"/>
      <c r="U13" s="38"/>
      <c r="V13" s="38"/>
      <c r="W13" s="37"/>
      <c r="X13" s="38"/>
      <c r="Y13" s="38"/>
      <c r="Z13" s="37"/>
      <c r="AA13" s="38"/>
      <c r="AB13" s="38"/>
      <c r="AC13" s="40"/>
      <c r="AD13" s="41"/>
      <c r="AE13" s="42" t="str">
        <f aca="false">IF(OR(A13="",NOT(ISNUMBER(AC13)),NOT(ISNUMBER(AD13))),"",IF(AD13&gt;0,AC13/AD13,""))</f>
        <v/>
      </c>
      <c r="AF13" s="42" t="str">
        <f aca="false">IF(OR(A13="",AB13=""),"",IFERROR(INDEX(Arbeitszeitmodelle!$C$5:$C$34,MATCH(AB13,Arbeitszeitmodelle!$A$5:$A$34,0)),""))</f>
        <v/>
      </c>
      <c r="AG13" s="38"/>
      <c r="AH13" s="38"/>
      <c r="AI13" s="38"/>
      <c r="AJ13" s="41"/>
      <c r="AK13" s="41"/>
      <c r="AL13" s="38"/>
      <c r="AM13" s="41"/>
      <c r="AN13" s="38"/>
      <c r="AO13" s="38"/>
      <c r="AP13" s="38"/>
      <c r="AQ13" s="38"/>
      <c r="AR13" s="41"/>
      <c r="AS13" s="40"/>
      <c r="AT13" s="39"/>
      <c r="AU13" s="41"/>
      <c r="AV13" s="43" t="str">
        <f aca="false">IF(OR(A13="",NOT(ISNUMBER(AD13))),"",P_MinUrlaubWerktage/6*AD13)</f>
        <v/>
      </c>
      <c r="AW13" s="43" t="str">
        <f aca="false">IF(A13="","",IF(M13="Ja",P_ZusatzSB*IF(ISNUMBER(AD13),AD13,5)/5,0))</f>
        <v/>
      </c>
      <c r="AX13" s="41"/>
      <c r="AY13" s="39"/>
      <c r="AZ13" s="43" t="str">
        <f aca="false">IF(OR(A13="",NOT(ISNUMBER(AU13))),"",SUM(AU13,AW13,AX13))</f>
        <v/>
      </c>
      <c r="BA13" s="38"/>
      <c r="BB13" s="44"/>
      <c r="BC13" s="44"/>
      <c r="BD13" s="45" t="str">
        <f aca="false">IF(A13="","",IF(BA13="Stundenlohn",IF(ISNUMBER(BC13),BC13,""),IF(AND(ISNUMBER(BB13),ISNUMBER(AC13)),IF(AC13&gt;0,BB13*12/(AC13*52),""),"")))</f>
        <v/>
      </c>
      <c r="BE13" s="46" t="str">
        <f aca="false">IF(OR(A13="",NOT(ISNUMBER(F13))),"",IFERROR(DATEDIF(F13,P_Stichtag,"Y"),""))</f>
        <v/>
      </c>
      <c r="BF13" s="47" t="str">
        <f aca="false">IF(OR(A13="",NOT(ISNUMBER(BE13))),"",IF(BE13&lt;18,"Ja","Nein"))</f>
        <v/>
      </c>
      <c r="BG13" s="48" t="str">
        <f aca="false">IF(A13="","",IF((IF(OR(B13="",C13="",F13="",N13="",Q13="",AB13="",AC13="",AD13="",AU13=""),"Pflichtfelder fehlen; ","")&amp;IF(AND(ISNUMBER(AC13),AC13&gt;P_MaxWoche),"Wochenstunden &gt; Prüfgrenze; ","")&amp;IF(AND(BF13="Ja",ISNUMBER(AC13),AC13&gt;P_MaxWocheJugend),"Jugendlicher &gt; 40 h/Woche; ","")&amp;IF(AND(ISNUMBER(BD13),BD13&lt;P_Mindestlohn,Q13&lt;&gt;"Auszubildende/r",Q13&lt;&gt;"Praktikant/in"),"Mindestlohn unterschritten?; ","")&amp;IF(AND(Q13="Minijob (geringfügig)",ISNUMBER(BB13),BB13&gt;P_Minijob),"Minijob-Grenze überschritten; ","")&amp;IF(AND(R13="Ja",S13=""),"Befristung ohne Enddatum; ","")&amp;IF(AND(ISNUMBER(O13),ISNUMBER(N13),O13&lt;N13),"Austritt vor Eintritt; ","")&amp;IF(AND(ISNUMBER(AU13),ISNUMBER(AV13),AU13&lt;AV13),"Urlaub unter gesetzl. Minimum; ","")&amp;IF(AND(ISNUMBER(AC13),ISNUMBER(AF13),ABS(N(AC13)-N(AF13))&gt;0.01),"Wochenstd. weichen vom Modell ab; ","")&amp;IF(AND(AI13="Ja",OR(AJ13="",AK13="")),"Kontogrenzen fehlen; ","")&amp;IF(AND(AL13="Mit Gehalt abgegolten (Pauschale)",AM13=""),"Überstunden-Pauschale fehlt; ",""))="","OK",IF(OR(B13="",C13="",F13="",N13="",Q13="",AB13="",AC13="",AD13="",AU13=""),"Pflichtfelder fehlen; ","")&amp;IF(AND(ISNUMBER(AC13),AC13&gt;P_MaxWoche),"Wochenstunden &gt; Prüfgrenze; ","")&amp;IF(AND(BF13="Ja",ISNUMBER(AC13),AC13&gt;P_MaxWocheJugend),"Jugendlicher &gt; 40 h/Woche; ","")&amp;IF(AND(ISNUMBER(BD13),BD13&lt;P_Mindestlohn,Q13&lt;&gt;"Auszubildende/r",Q13&lt;&gt;"Praktikant/in"),"Mindestlohn unterschritten?; ","")&amp;IF(AND(Q13="Minijob (geringfügig)",ISNUMBER(BB13),BB13&gt;P_Minijob),"Minijob-Grenze überschritten; ","")&amp;IF(AND(R13="Ja",S13=""),"Befristung ohne Enddatum; ","")&amp;IF(AND(ISNUMBER(O13),ISNUMBER(N13),O13&lt;N13),"Austritt vor Eintritt; ","")&amp;IF(AND(ISNUMBER(AU13),ISNUMBER(AV13),AU13&lt;AV13),"Urlaub unter gesetzl. Minimum; ","")&amp;IF(AND(ISNUMBER(AC13),ISNUMBER(AF13),ABS(N(AC13)-N(AF13))&gt;0.01),"Wochenstd. weichen vom Modell ab; ","")&amp;IF(AND(AI13="Ja",OR(AJ13="",AK13="")),"Kontogrenzen fehlen; ","")&amp;IF(AND(AL13="Mit Gehalt abgegolten (Pauschale)",AM13=""),"Überstunden-Pauschale fehlt; ","")))</f>
        <v/>
      </c>
      <c r="BH13" s="38"/>
    </row>
    <row r="14" customFormat="false" ht="15" hidden="false" customHeight="false" outlineLevel="0" collapsed="false">
      <c r="A14" s="37"/>
      <c r="B14" s="38"/>
      <c r="C14" s="38"/>
      <c r="D14" s="38"/>
      <c r="E14" s="38"/>
      <c r="F14" s="39"/>
      <c r="G14" s="38"/>
      <c r="H14" s="38"/>
      <c r="I14" s="37"/>
      <c r="J14" s="38"/>
      <c r="K14" s="38"/>
      <c r="L14" s="38"/>
      <c r="M14" s="38"/>
      <c r="N14" s="39"/>
      <c r="O14" s="39"/>
      <c r="P14" s="38"/>
      <c r="Q14" s="38"/>
      <c r="R14" s="38"/>
      <c r="S14" s="39"/>
      <c r="T14" s="39"/>
      <c r="U14" s="38"/>
      <c r="V14" s="38"/>
      <c r="W14" s="37"/>
      <c r="X14" s="38"/>
      <c r="Y14" s="38"/>
      <c r="Z14" s="37"/>
      <c r="AA14" s="38"/>
      <c r="AB14" s="38"/>
      <c r="AC14" s="40"/>
      <c r="AD14" s="41"/>
      <c r="AE14" s="42" t="str">
        <f aca="false">IF(OR(A14="",NOT(ISNUMBER(AC14)),NOT(ISNUMBER(AD14))),"",IF(AD14&gt;0,AC14/AD14,""))</f>
        <v/>
      </c>
      <c r="AF14" s="42" t="str">
        <f aca="false">IF(OR(A14="",AB14=""),"",IFERROR(INDEX(Arbeitszeitmodelle!$C$5:$C$34,MATCH(AB14,Arbeitszeitmodelle!$A$5:$A$34,0)),""))</f>
        <v/>
      </c>
      <c r="AG14" s="38"/>
      <c r="AH14" s="38"/>
      <c r="AI14" s="38"/>
      <c r="AJ14" s="41"/>
      <c r="AK14" s="41"/>
      <c r="AL14" s="38"/>
      <c r="AM14" s="41"/>
      <c r="AN14" s="38"/>
      <c r="AO14" s="38"/>
      <c r="AP14" s="38"/>
      <c r="AQ14" s="38"/>
      <c r="AR14" s="41"/>
      <c r="AS14" s="40"/>
      <c r="AT14" s="39"/>
      <c r="AU14" s="41"/>
      <c r="AV14" s="43" t="str">
        <f aca="false">IF(OR(A14="",NOT(ISNUMBER(AD14))),"",P_MinUrlaubWerktage/6*AD14)</f>
        <v/>
      </c>
      <c r="AW14" s="43" t="str">
        <f aca="false">IF(A14="","",IF(M14="Ja",P_ZusatzSB*IF(ISNUMBER(AD14),AD14,5)/5,0))</f>
        <v/>
      </c>
      <c r="AX14" s="41"/>
      <c r="AY14" s="39"/>
      <c r="AZ14" s="43" t="str">
        <f aca="false">IF(OR(A14="",NOT(ISNUMBER(AU14))),"",SUM(AU14,AW14,AX14))</f>
        <v/>
      </c>
      <c r="BA14" s="38"/>
      <c r="BB14" s="44"/>
      <c r="BC14" s="44"/>
      <c r="BD14" s="45" t="str">
        <f aca="false">IF(A14="","",IF(BA14="Stundenlohn",IF(ISNUMBER(BC14),BC14,""),IF(AND(ISNUMBER(BB14),ISNUMBER(AC14)),IF(AC14&gt;0,BB14*12/(AC14*52),""),"")))</f>
        <v/>
      </c>
      <c r="BE14" s="46" t="str">
        <f aca="false">IF(OR(A14="",NOT(ISNUMBER(F14))),"",IFERROR(DATEDIF(F14,P_Stichtag,"Y"),""))</f>
        <v/>
      </c>
      <c r="BF14" s="47" t="str">
        <f aca="false">IF(OR(A14="",NOT(ISNUMBER(BE14))),"",IF(BE14&lt;18,"Ja","Nein"))</f>
        <v/>
      </c>
      <c r="BG14" s="48" t="str">
        <f aca="false">IF(A14="","",IF((IF(OR(B14="",C14="",F14="",N14="",Q14="",AB14="",AC14="",AD14="",AU14=""),"Pflichtfelder fehlen; ","")&amp;IF(AND(ISNUMBER(AC14),AC14&gt;P_MaxWoche),"Wochenstunden &gt; Prüfgrenze; ","")&amp;IF(AND(BF14="Ja",ISNUMBER(AC14),AC14&gt;P_MaxWocheJugend),"Jugendlicher &gt; 40 h/Woche; ","")&amp;IF(AND(ISNUMBER(BD14),BD14&lt;P_Mindestlohn,Q14&lt;&gt;"Auszubildende/r",Q14&lt;&gt;"Praktikant/in"),"Mindestlohn unterschritten?; ","")&amp;IF(AND(Q14="Minijob (geringfügig)",ISNUMBER(BB14),BB14&gt;P_Minijob),"Minijob-Grenze überschritten; ","")&amp;IF(AND(R14="Ja",S14=""),"Befristung ohne Enddatum; ","")&amp;IF(AND(ISNUMBER(O14),ISNUMBER(N14),O14&lt;N14),"Austritt vor Eintritt; ","")&amp;IF(AND(ISNUMBER(AU14),ISNUMBER(AV14),AU14&lt;AV14),"Urlaub unter gesetzl. Minimum; ","")&amp;IF(AND(ISNUMBER(AC14),ISNUMBER(AF14),ABS(N(AC14)-N(AF14))&gt;0.01),"Wochenstd. weichen vom Modell ab; ","")&amp;IF(AND(AI14="Ja",OR(AJ14="",AK14="")),"Kontogrenzen fehlen; ","")&amp;IF(AND(AL14="Mit Gehalt abgegolten (Pauschale)",AM14=""),"Überstunden-Pauschale fehlt; ",""))="","OK",IF(OR(B14="",C14="",F14="",N14="",Q14="",AB14="",AC14="",AD14="",AU14=""),"Pflichtfelder fehlen; ","")&amp;IF(AND(ISNUMBER(AC14),AC14&gt;P_MaxWoche),"Wochenstunden &gt; Prüfgrenze; ","")&amp;IF(AND(BF14="Ja",ISNUMBER(AC14),AC14&gt;P_MaxWocheJugend),"Jugendlicher &gt; 40 h/Woche; ","")&amp;IF(AND(ISNUMBER(BD14),BD14&lt;P_Mindestlohn,Q14&lt;&gt;"Auszubildende/r",Q14&lt;&gt;"Praktikant/in"),"Mindestlohn unterschritten?; ","")&amp;IF(AND(Q14="Minijob (geringfügig)",ISNUMBER(BB14),BB14&gt;P_Minijob),"Minijob-Grenze überschritten; ","")&amp;IF(AND(R14="Ja",S14=""),"Befristung ohne Enddatum; ","")&amp;IF(AND(ISNUMBER(O14),ISNUMBER(N14),O14&lt;N14),"Austritt vor Eintritt; ","")&amp;IF(AND(ISNUMBER(AU14),ISNUMBER(AV14),AU14&lt;AV14),"Urlaub unter gesetzl. Minimum; ","")&amp;IF(AND(ISNUMBER(AC14),ISNUMBER(AF14),ABS(N(AC14)-N(AF14))&gt;0.01),"Wochenstd. weichen vom Modell ab; ","")&amp;IF(AND(AI14="Ja",OR(AJ14="",AK14="")),"Kontogrenzen fehlen; ","")&amp;IF(AND(AL14="Mit Gehalt abgegolten (Pauschale)",AM14=""),"Überstunden-Pauschale fehlt; ","")))</f>
        <v/>
      </c>
      <c r="BH14" s="38"/>
    </row>
    <row r="15" customFormat="false" ht="15" hidden="false" customHeight="false" outlineLevel="0" collapsed="false">
      <c r="A15" s="37"/>
      <c r="B15" s="38"/>
      <c r="C15" s="38"/>
      <c r="D15" s="38"/>
      <c r="E15" s="38"/>
      <c r="F15" s="39"/>
      <c r="G15" s="38"/>
      <c r="H15" s="38"/>
      <c r="I15" s="37"/>
      <c r="J15" s="38"/>
      <c r="K15" s="38"/>
      <c r="L15" s="38"/>
      <c r="M15" s="38"/>
      <c r="N15" s="39"/>
      <c r="O15" s="39"/>
      <c r="P15" s="38"/>
      <c r="Q15" s="38"/>
      <c r="R15" s="38"/>
      <c r="S15" s="39"/>
      <c r="T15" s="39"/>
      <c r="U15" s="38"/>
      <c r="V15" s="38"/>
      <c r="W15" s="37"/>
      <c r="X15" s="38"/>
      <c r="Y15" s="38"/>
      <c r="Z15" s="37"/>
      <c r="AA15" s="38"/>
      <c r="AB15" s="38"/>
      <c r="AC15" s="40"/>
      <c r="AD15" s="41"/>
      <c r="AE15" s="42" t="str">
        <f aca="false">IF(OR(A15="",NOT(ISNUMBER(AC15)),NOT(ISNUMBER(AD15))),"",IF(AD15&gt;0,AC15/AD15,""))</f>
        <v/>
      </c>
      <c r="AF15" s="42" t="str">
        <f aca="false">IF(OR(A15="",AB15=""),"",IFERROR(INDEX(Arbeitszeitmodelle!$C$5:$C$34,MATCH(AB15,Arbeitszeitmodelle!$A$5:$A$34,0)),""))</f>
        <v/>
      </c>
      <c r="AG15" s="38"/>
      <c r="AH15" s="38"/>
      <c r="AI15" s="38"/>
      <c r="AJ15" s="41"/>
      <c r="AK15" s="41"/>
      <c r="AL15" s="38"/>
      <c r="AM15" s="41"/>
      <c r="AN15" s="38"/>
      <c r="AO15" s="38"/>
      <c r="AP15" s="38"/>
      <c r="AQ15" s="38"/>
      <c r="AR15" s="41"/>
      <c r="AS15" s="40"/>
      <c r="AT15" s="39"/>
      <c r="AU15" s="41"/>
      <c r="AV15" s="43" t="str">
        <f aca="false">IF(OR(A15="",NOT(ISNUMBER(AD15))),"",P_MinUrlaubWerktage/6*AD15)</f>
        <v/>
      </c>
      <c r="AW15" s="43" t="str">
        <f aca="false">IF(A15="","",IF(M15="Ja",P_ZusatzSB*IF(ISNUMBER(AD15),AD15,5)/5,0))</f>
        <v/>
      </c>
      <c r="AX15" s="41"/>
      <c r="AY15" s="39"/>
      <c r="AZ15" s="43" t="str">
        <f aca="false">IF(OR(A15="",NOT(ISNUMBER(AU15))),"",SUM(AU15,AW15,AX15))</f>
        <v/>
      </c>
      <c r="BA15" s="38"/>
      <c r="BB15" s="44"/>
      <c r="BC15" s="44"/>
      <c r="BD15" s="45" t="str">
        <f aca="false">IF(A15="","",IF(BA15="Stundenlohn",IF(ISNUMBER(BC15),BC15,""),IF(AND(ISNUMBER(BB15),ISNUMBER(AC15)),IF(AC15&gt;0,BB15*12/(AC15*52),""),"")))</f>
        <v/>
      </c>
      <c r="BE15" s="46" t="str">
        <f aca="false">IF(OR(A15="",NOT(ISNUMBER(F15))),"",IFERROR(DATEDIF(F15,P_Stichtag,"Y"),""))</f>
        <v/>
      </c>
      <c r="BF15" s="47" t="str">
        <f aca="false">IF(OR(A15="",NOT(ISNUMBER(BE15))),"",IF(BE15&lt;18,"Ja","Nein"))</f>
        <v/>
      </c>
      <c r="BG15" s="48" t="str">
        <f aca="false">IF(A15="","",IF((IF(OR(B15="",C15="",F15="",N15="",Q15="",AB15="",AC15="",AD15="",AU15=""),"Pflichtfelder fehlen; ","")&amp;IF(AND(ISNUMBER(AC15),AC15&gt;P_MaxWoche),"Wochenstunden &gt; Prüfgrenze; ","")&amp;IF(AND(BF15="Ja",ISNUMBER(AC15),AC15&gt;P_MaxWocheJugend),"Jugendlicher &gt; 40 h/Woche; ","")&amp;IF(AND(ISNUMBER(BD15),BD15&lt;P_Mindestlohn,Q15&lt;&gt;"Auszubildende/r",Q15&lt;&gt;"Praktikant/in"),"Mindestlohn unterschritten?; ","")&amp;IF(AND(Q15="Minijob (geringfügig)",ISNUMBER(BB15),BB15&gt;P_Minijob),"Minijob-Grenze überschritten; ","")&amp;IF(AND(R15="Ja",S15=""),"Befristung ohne Enddatum; ","")&amp;IF(AND(ISNUMBER(O15),ISNUMBER(N15),O15&lt;N15),"Austritt vor Eintritt; ","")&amp;IF(AND(ISNUMBER(AU15),ISNUMBER(AV15),AU15&lt;AV15),"Urlaub unter gesetzl. Minimum; ","")&amp;IF(AND(ISNUMBER(AC15),ISNUMBER(AF15),ABS(N(AC15)-N(AF15))&gt;0.01),"Wochenstd. weichen vom Modell ab; ","")&amp;IF(AND(AI15="Ja",OR(AJ15="",AK15="")),"Kontogrenzen fehlen; ","")&amp;IF(AND(AL15="Mit Gehalt abgegolten (Pauschale)",AM15=""),"Überstunden-Pauschale fehlt; ",""))="","OK",IF(OR(B15="",C15="",F15="",N15="",Q15="",AB15="",AC15="",AD15="",AU15=""),"Pflichtfelder fehlen; ","")&amp;IF(AND(ISNUMBER(AC15),AC15&gt;P_MaxWoche),"Wochenstunden &gt; Prüfgrenze; ","")&amp;IF(AND(BF15="Ja",ISNUMBER(AC15),AC15&gt;P_MaxWocheJugend),"Jugendlicher &gt; 40 h/Woche; ","")&amp;IF(AND(ISNUMBER(BD15),BD15&lt;P_Mindestlohn,Q15&lt;&gt;"Auszubildende/r",Q15&lt;&gt;"Praktikant/in"),"Mindestlohn unterschritten?; ","")&amp;IF(AND(Q15="Minijob (geringfügig)",ISNUMBER(BB15),BB15&gt;P_Minijob),"Minijob-Grenze überschritten; ","")&amp;IF(AND(R15="Ja",S15=""),"Befristung ohne Enddatum; ","")&amp;IF(AND(ISNUMBER(O15),ISNUMBER(N15),O15&lt;N15),"Austritt vor Eintritt; ","")&amp;IF(AND(ISNUMBER(AU15),ISNUMBER(AV15),AU15&lt;AV15),"Urlaub unter gesetzl. Minimum; ","")&amp;IF(AND(ISNUMBER(AC15),ISNUMBER(AF15),ABS(N(AC15)-N(AF15))&gt;0.01),"Wochenstd. weichen vom Modell ab; ","")&amp;IF(AND(AI15="Ja",OR(AJ15="",AK15="")),"Kontogrenzen fehlen; ","")&amp;IF(AND(AL15="Mit Gehalt abgegolten (Pauschale)",AM15=""),"Überstunden-Pauschale fehlt; ","")))</f>
        <v/>
      </c>
      <c r="BH15" s="38"/>
    </row>
    <row r="16" customFormat="false" ht="15" hidden="false" customHeight="false" outlineLevel="0" collapsed="false">
      <c r="A16" s="37"/>
      <c r="B16" s="38"/>
      <c r="C16" s="38"/>
      <c r="D16" s="38"/>
      <c r="E16" s="38"/>
      <c r="F16" s="39"/>
      <c r="G16" s="38"/>
      <c r="H16" s="38"/>
      <c r="I16" s="37"/>
      <c r="J16" s="38"/>
      <c r="K16" s="38"/>
      <c r="L16" s="38"/>
      <c r="M16" s="38"/>
      <c r="N16" s="39"/>
      <c r="O16" s="39"/>
      <c r="P16" s="38"/>
      <c r="Q16" s="38"/>
      <c r="R16" s="38"/>
      <c r="S16" s="39"/>
      <c r="T16" s="39"/>
      <c r="U16" s="38"/>
      <c r="V16" s="38"/>
      <c r="W16" s="37"/>
      <c r="X16" s="38"/>
      <c r="Y16" s="38"/>
      <c r="Z16" s="37"/>
      <c r="AA16" s="38"/>
      <c r="AB16" s="38"/>
      <c r="AC16" s="40"/>
      <c r="AD16" s="41"/>
      <c r="AE16" s="42" t="str">
        <f aca="false">IF(OR(A16="",NOT(ISNUMBER(AC16)),NOT(ISNUMBER(AD16))),"",IF(AD16&gt;0,AC16/AD16,""))</f>
        <v/>
      </c>
      <c r="AF16" s="42" t="str">
        <f aca="false">IF(OR(A16="",AB16=""),"",IFERROR(INDEX(Arbeitszeitmodelle!$C$5:$C$34,MATCH(AB16,Arbeitszeitmodelle!$A$5:$A$34,0)),""))</f>
        <v/>
      </c>
      <c r="AG16" s="38"/>
      <c r="AH16" s="38"/>
      <c r="AI16" s="38"/>
      <c r="AJ16" s="41"/>
      <c r="AK16" s="41"/>
      <c r="AL16" s="38"/>
      <c r="AM16" s="41"/>
      <c r="AN16" s="38"/>
      <c r="AO16" s="38"/>
      <c r="AP16" s="38"/>
      <c r="AQ16" s="38"/>
      <c r="AR16" s="41"/>
      <c r="AS16" s="40"/>
      <c r="AT16" s="39"/>
      <c r="AU16" s="41"/>
      <c r="AV16" s="43" t="str">
        <f aca="false">IF(OR(A16="",NOT(ISNUMBER(AD16))),"",P_MinUrlaubWerktage/6*AD16)</f>
        <v/>
      </c>
      <c r="AW16" s="43" t="str">
        <f aca="false">IF(A16="","",IF(M16="Ja",P_ZusatzSB*IF(ISNUMBER(AD16),AD16,5)/5,0))</f>
        <v/>
      </c>
      <c r="AX16" s="41"/>
      <c r="AY16" s="39"/>
      <c r="AZ16" s="43" t="str">
        <f aca="false">IF(OR(A16="",NOT(ISNUMBER(AU16))),"",SUM(AU16,AW16,AX16))</f>
        <v/>
      </c>
      <c r="BA16" s="38"/>
      <c r="BB16" s="44"/>
      <c r="BC16" s="44"/>
      <c r="BD16" s="45" t="str">
        <f aca="false">IF(A16="","",IF(BA16="Stundenlohn",IF(ISNUMBER(BC16),BC16,""),IF(AND(ISNUMBER(BB16),ISNUMBER(AC16)),IF(AC16&gt;0,BB16*12/(AC16*52),""),"")))</f>
        <v/>
      </c>
      <c r="BE16" s="46" t="str">
        <f aca="false">IF(OR(A16="",NOT(ISNUMBER(F16))),"",IFERROR(DATEDIF(F16,P_Stichtag,"Y"),""))</f>
        <v/>
      </c>
      <c r="BF16" s="47" t="str">
        <f aca="false">IF(OR(A16="",NOT(ISNUMBER(BE16))),"",IF(BE16&lt;18,"Ja","Nein"))</f>
        <v/>
      </c>
      <c r="BG16" s="48" t="str">
        <f aca="false">IF(A16="","",IF((IF(OR(B16="",C16="",F16="",N16="",Q16="",AB16="",AC16="",AD16="",AU16=""),"Pflichtfelder fehlen; ","")&amp;IF(AND(ISNUMBER(AC16),AC16&gt;P_MaxWoche),"Wochenstunden &gt; Prüfgrenze; ","")&amp;IF(AND(BF16="Ja",ISNUMBER(AC16),AC16&gt;P_MaxWocheJugend),"Jugendlicher &gt; 40 h/Woche; ","")&amp;IF(AND(ISNUMBER(BD16),BD16&lt;P_Mindestlohn,Q16&lt;&gt;"Auszubildende/r",Q16&lt;&gt;"Praktikant/in"),"Mindestlohn unterschritten?; ","")&amp;IF(AND(Q16="Minijob (geringfügig)",ISNUMBER(BB16),BB16&gt;P_Minijob),"Minijob-Grenze überschritten; ","")&amp;IF(AND(R16="Ja",S16=""),"Befristung ohne Enddatum; ","")&amp;IF(AND(ISNUMBER(O16),ISNUMBER(N16),O16&lt;N16),"Austritt vor Eintritt; ","")&amp;IF(AND(ISNUMBER(AU16),ISNUMBER(AV16),AU16&lt;AV16),"Urlaub unter gesetzl. Minimum; ","")&amp;IF(AND(ISNUMBER(AC16),ISNUMBER(AF16),ABS(N(AC16)-N(AF16))&gt;0.01),"Wochenstd. weichen vom Modell ab; ","")&amp;IF(AND(AI16="Ja",OR(AJ16="",AK16="")),"Kontogrenzen fehlen; ","")&amp;IF(AND(AL16="Mit Gehalt abgegolten (Pauschale)",AM16=""),"Überstunden-Pauschale fehlt; ",""))="","OK",IF(OR(B16="",C16="",F16="",N16="",Q16="",AB16="",AC16="",AD16="",AU16=""),"Pflichtfelder fehlen; ","")&amp;IF(AND(ISNUMBER(AC16),AC16&gt;P_MaxWoche),"Wochenstunden &gt; Prüfgrenze; ","")&amp;IF(AND(BF16="Ja",ISNUMBER(AC16),AC16&gt;P_MaxWocheJugend),"Jugendlicher &gt; 40 h/Woche; ","")&amp;IF(AND(ISNUMBER(BD16),BD16&lt;P_Mindestlohn,Q16&lt;&gt;"Auszubildende/r",Q16&lt;&gt;"Praktikant/in"),"Mindestlohn unterschritten?; ","")&amp;IF(AND(Q16="Minijob (geringfügig)",ISNUMBER(BB16),BB16&gt;P_Minijob),"Minijob-Grenze überschritten; ","")&amp;IF(AND(R16="Ja",S16=""),"Befristung ohne Enddatum; ","")&amp;IF(AND(ISNUMBER(O16),ISNUMBER(N16),O16&lt;N16),"Austritt vor Eintritt; ","")&amp;IF(AND(ISNUMBER(AU16),ISNUMBER(AV16),AU16&lt;AV16),"Urlaub unter gesetzl. Minimum; ","")&amp;IF(AND(ISNUMBER(AC16),ISNUMBER(AF16),ABS(N(AC16)-N(AF16))&gt;0.01),"Wochenstd. weichen vom Modell ab; ","")&amp;IF(AND(AI16="Ja",OR(AJ16="",AK16="")),"Kontogrenzen fehlen; ","")&amp;IF(AND(AL16="Mit Gehalt abgegolten (Pauschale)",AM16=""),"Überstunden-Pauschale fehlt; ","")))</f>
        <v/>
      </c>
      <c r="BH16" s="38"/>
    </row>
    <row r="17" customFormat="false" ht="15" hidden="false" customHeight="false" outlineLevel="0" collapsed="false">
      <c r="A17" s="37"/>
      <c r="B17" s="38"/>
      <c r="C17" s="38"/>
      <c r="D17" s="38"/>
      <c r="E17" s="38"/>
      <c r="F17" s="39"/>
      <c r="G17" s="38"/>
      <c r="H17" s="38"/>
      <c r="I17" s="37"/>
      <c r="J17" s="38"/>
      <c r="K17" s="38"/>
      <c r="L17" s="38"/>
      <c r="M17" s="38"/>
      <c r="N17" s="39"/>
      <c r="O17" s="39"/>
      <c r="P17" s="38"/>
      <c r="Q17" s="38"/>
      <c r="R17" s="38"/>
      <c r="S17" s="39"/>
      <c r="T17" s="39"/>
      <c r="U17" s="38"/>
      <c r="V17" s="38"/>
      <c r="W17" s="37"/>
      <c r="X17" s="38"/>
      <c r="Y17" s="38"/>
      <c r="Z17" s="37"/>
      <c r="AA17" s="38"/>
      <c r="AB17" s="38"/>
      <c r="AC17" s="40"/>
      <c r="AD17" s="41"/>
      <c r="AE17" s="42" t="str">
        <f aca="false">IF(OR(A17="",NOT(ISNUMBER(AC17)),NOT(ISNUMBER(AD17))),"",IF(AD17&gt;0,AC17/AD17,""))</f>
        <v/>
      </c>
      <c r="AF17" s="42" t="str">
        <f aca="false">IF(OR(A17="",AB17=""),"",IFERROR(INDEX(Arbeitszeitmodelle!$C$5:$C$34,MATCH(AB17,Arbeitszeitmodelle!$A$5:$A$34,0)),""))</f>
        <v/>
      </c>
      <c r="AG17" s="38"/>
      <c r="AH17" s="38"/>
      <c r="AI17" s="38"/>
      <c r="AJ17" s="41"/>
      <c r="AK17" s="41"/>
      <c r="AL17" s="38"/>
      <c r="AM17" s="41"/>
      <c r="AN17" s="38"/>
      <c r="AO17" s="38"/>
      <c r="AP17" s="38"/>
      <c r="AQ17" s="38"/>
      <c r="AR17" s="41"/>
      <c r="AS17" s="40"/>
      <c r="AT17" s="39"/>
      <c r="AU17" s="41"/>
      <c r="AV17" s="43" t="str">
        <f aca="false">IF(OR(A17="",NOT(ISNUMBER(AD17))),"",P_MinUrlaubWerktage/6*AD17)</f>
        <v/>
      </c>
      <c r="AW17" s="43" t="str">
        <f aca="false">IF(A17="","",IF(M17="Ja",P_ZusatzSB*IF(ISNUMBER(AD17),AD17,5)/5,0))</f>
        <v/>
      </c>
      <c r="AX17" s="41"/>
      <c r="AY17" s="39"/>
      <c r="AZ17" s="43" t="str">
        <f aca="false">IF(OR(A17="",NOT(ISNUMBER(AU17))),"",SUM(AU17,AW17,AX17))</f>
        <v/>
      </c>
      <c r="BA17" s="38"/>
      <c r="BB17" s="44"/>
      <c r="BC17" s="44"/>
      <c r="BD17" s="45" t="str">
        <f aca="false">IF(A17="","",IF(BA17="Stundenlohn",IF(ISNUMBER(BC17),BC17,""),IF(AND(ISNUMBER(BB17),ISNUMBER(AC17)),IF(AC17&gt;0,BB17*12/(AC17*52),""),"")))</f>
        <v/>
      </c>
      <c r="BE17" s="46" t="str">
        <f aca="false">IF(OR(A17="",NOT(ISNUMBER(F17))),"",IFERROR(DATEDIF(F17,P_Stichtag,"Y"),""))</f>
        <v/>
      </c>
      <c r="BF17" s="47" t="str">
        <f aca="false">IF(OR(A17="",NOT(ISNUMBER(BE17))),"",IF(BE17&lt;18,"Ja","Nein"))</f>
        <v/>
      </c>
      <c r="BG17" s="48" t="str">
        <f aca="false">IF(A17="","",IF((IF(OR(B17="",C17="",F17="",N17="",Q17="",AB17="",AC17="",AD17="",AU17=""),"Pflichtfelder fehlen; ","")&amp;IF(AND(ISNUMBER(AC17),AC17&gt;P_MaxWoche),"Wochenstunden &gt; Prüfgrenze; ","")&amp;IF(AND(BF17="Ja",ISNUMBER(AC17),AC17&gt;P_MaxWocheJugend),"Jugendlicher &gt; 40 h/Woche; ","")&amp;IF(AND(ISNUMBER(BD17),BD17&lt;P_Mindestlohn,Q17&lt;&gt;"Auszubildende/r",Q17&lt;&gt;"Praktikant/in"),"Mindestlohn unterschritten?; ","")&amp;IF(AND(Q17="Minijob (geringfügig)",ISNUMBER(BB17),BB17&gt;P_Minijob),"Minijob-Grenze überschritten; ","")&amp;IF(AND(R17="Ja",S17=""),"Befristung ohne Enddatum; ","")&amp;IF(AND(ISNUMBER(O17),ISNUMBER(N17),O17&lt;N17),"Austritt vor Eintritt; ","")&amp;IF(AND(ISNUMBER(AU17),ISNUMBER(AV17),AU17&lt;AV17),"Urlaub unter gesetzl. Minimum; ","")&amp;IF(AND(ISNUMBER(AC17),ISNUMBER(AF17),ABS(N(AC17)-N(AF17))&gt;0.01),"Wochenstd. weichen vom Modell ab; ","")&amp;IF(AND(AI17="Ja",OR(AJ17="",AK17="")),"Kontogrenzen fehlen; ","")&amp;IF(AND(AL17="Mit Gehalt abgegolten (Pauschale)",AM17=""),"Überstunden-Pauschale fehlt; ",""))="","OK",IF(OR(B17="",C17="",F17="",N17="",Q17="",AB17="",AC17="",AD17="",AU17=""),"Pflichtfelder fehlen; ","")&amp;IF(AND(ISNUMBER(AC17),AC17&gt;P_MaxWoche),"Wochenstunden &gt; Prüfgrenze; ","")&amp;IF(AND(BF17="Ja",ISNUMBER(AC17),AC17&gt;P_MaxWocheJugend),"Jugendlicher &gt; 40 h/Woche; ","")&amp;IF(AND(ISNUMBER(BD17),BD17&lt;P_Mindestlohn,Q17&lt;&gt;"Auszubildende/r",Q17&lt;&gt;"Praktikant/in"),"Mindestlohn unterschritten?; ","")&amp;IF(AND(Q17="Minijob (geringfügig)",ISNUMBER(BB17),BB17&gt;P_Minijob),"Minijob-Grenze überschritten; ","")&amp;IF(AND(R17="Ja",S17=""),"Befristung ohne Enddatum; ","")&amp;IF(AND(ISNUMBER(O17),ISNUMBER(N17),O17&lt;N17),"Austritt vor Eintritt; ","")&amp;IF(AND(ISNUMBER(AU17),ISNUMBER(AV17),AU17&lt;AV17),"Urlaub unter gesetzl. Minimum; ","")&amp;IF(AND(ISNUMBER(AC17),ISNUMBER(AF17),ABS(N(AC17)-N(AF17))&gt;0.01),"Wochenstd. weichen vom Modell ab; ","")&amp;IF(AND(AI17="Ja",OR(AJ17="",AK17="")),"Kontogrenzen fehlen; ","")&amp;IF(AND(AL17="Mit Gehalt abgegolten (Pauschale)",AM17=""),"Überstunden-Pauschale fehlt; ","")))</f>
        <v/>
      </c>
      <c r="BH17" s="38"/>
    </row>
    <row r="18" customFormat="false" ht="15" hidden="false" customHeight="false" outlineLevel="0" collapsed="false">
      <c r="A18" s="37"/>
      <c r="B18" s="38"/>
      <c r="C18" s="38"/>
      <c r="D18" s="38"/>
      <c r="E18" s="38"/>
      <c r="F18" s="39"/>
      <c r="G18" s="38"/>
      <c r="H18" s="38"/>
      <c r="I18" s="37"/>
      <c r="J18" s="38"/>
      <c r="K18" s="38"/>
      <c r="L18" s="38"/>
      <c r="M18" s="38"/>
      <c r="N18" s="39"/>
      <c r="O18" s="39"/>
      <c r="P18" s="38"/>
      <c r="Q18" s="38"/>
      <c r="R18" s="38"/>
      <c r="S18" s="39"/>
      <c r="T18" s="39"/>
      <c r="U18" s="38"/>
      <c r="V18" s="38"/>
      <c r="W18" s="37"/>
      <c r="X18" s="38"/>
      <c r="Y18" s="38"/>
      <c r="Z18" s="37"/>
      <c r="AA18" s="38"/>
      <c r="AB18" s="38"/>
      <c r="AC18" s="40"/>
      <c r="AD18" s="41"/>
      <c r="AE18" s="42" t="str">
        <f aca="false">IF(OR(A18="",NOT(ISNUMBER(AC18)),NOT(ISNUMBER(AD18))),"",IF(AD18&gt;0,AC18/AD18,""))</f>
        <v/>
      </c>
      <c r="AF18" s="42" t="str">
        <f aca="false">IF(OR(A18="",AB18=""),"",IFERROR(INDEX(Arbeitszeitmodelle!$C$5:$C$34,MATCH(AB18,Arbeitszeitmodelle!$A$5:$A$34,0)),""))</f>
        <v/>
      </c>
      <c r="AG18" s="38"/>
      <c r="AH18" s="38"/>
      <c r="AI18" s="38"/>
      <c r="AJ18" s="41"/>
      <c r="AK18" s="41"/>
      <c r="AL18" s="38"/>
      <c r="AM18" s="41"/>
      <c r="AN18" s="38"/>
      <c r="AO18" s="38"/>
      <c r="AP18" s="38"/>
      <c r="AQ18" s="38"/>
      <c r="AR18" s="41"/>
      <c r="AS18" s="40"/>
      <c r="AT18" s="39"/>
      <c r="AU18" s="41"/>
      <c r="AV18" s="43" t="str">
        <f aca="false">IF(OR(A18="",NOT(ISNUMBER(AD18))),"",P_MinUrlaubWerktage/6*AD18)</f>
        <v/>
      </c>
      <c r="AW18" s="43" t="str">
        <f aca="false">IF(A18="","",IF(M18="Ja",P_ZusatzSB*IF(ISNUMBER(AD18),AD18,5)/5,0))</f>
        <v/>
      </c>
      <c r="AX18" s="41"/>
      <c r="AY18" s="39"/>
      <c r="AZ18" s="43" t="str">
        <f aca="false">IF(OR(A18="",NOT(ISNUMBER(AU18))),"",SUM(AU18,AW18,AX18))</f>
        <v/>
      </c>
      <c r="BA18" s="38"/>
      <c r="BB18" s="44"/>
      <c r="BC18" s="44"/>
      <c r="BD18" s="45" t="str">
        <f aca="false">IF(A18="","",IF(BA18="Stundenlohn",IF(ISNUMBER(BC18),BC18,""),IF(AND(ISNUMBER(BB18),ISNUMBER(AC18)),IF(AC18&gt;0,BB18*12/(AC18*52),""),"")))</f>
        <v/>
      </c>
      <c r="BE18" s="46" t="str">
        <f aca="false">IF(OR(A18="",NOT(ISNUMBER(F18))),"",IFERROR(DATEDIF(F18,P_Stichtag,"Y"),""))</f>
        <v/>
      </c>
      <c r="BF18" s="47" t="str">
        <f aca="false">IF(OR(A18="",NOT(ISNUMBER(BE18))),"",IF(BE18&lt;18,"Ja","Nein"))</f>
        <v/>
      </c>
      <c r="BG18" s="48" t="str">
        <f aca="false">IF(A18="","",IF((IF(OR(B18="",C18="",F18="",N18="",Q18="",AB18="",AC18="",AD18="",AU18=""),"Pflichtfelder fehlen; ","")&amp;IF(AND(ISNUMBER(AC18),AC18&gt;P_MaxWoche),"Wochenstunden &gt; Prüfgrenze; ","")&amp;IF(AND(BF18="Ja",ISNUMBER(AC18),AC18&gt;P_MaxWocheJugend),"Jugendlicher &gt; 40 h/Woche; ","")&amp;IF(AND(ISNUMBER(BD18),BD18&lt;P_Mindestlohn,Q18&lt;&gt;"Auszubildende/r",Q18&lt;&gt;"Praktikant/in"),"Mindestlohn unterschritten?; ","")&amp;IF(AND(Q18="Minijob (geringfügig)",ISNUMBER(BB18),BB18&gt;P_Minijob),"Minijob-Grenze überschritten; ","")&amp;IF(AND(R18="Ja",S18=""),"Befristung ohne Enddatum; ","")&amp;IF(AND(ISNUMBER(O18),ISNUMBER(N18),O18&lt;N18),"Austritt vor Eintritt; ","")&amp;IF(AND(ISNUMBER(AU18),ISNUMBER(AV18),AU18&lt;AV18),"Urlaub unter gesetzl. Minimum; ","")&amp;IF(AND(ISNUMBER(AC18),ISNUMBER(AF18),ABS(N(AC18)-N(AF18))&gt;0.01),"Wochenstd. weichen vom Modell ab; ","")&amp;IF(AND(AI18="Ja",OR(AJ18="",AK18="")),"Kontogrenzen fehlen; ","")&amp;IF(AND(AL18="Mit Gehalt abgegolten (Pauschale)",AM18=""),"Überstunden-Pauschale fehlt; ",""))="","OK",IF(OR(B18="",C18="",F18="",N18="",Q18="",AB18="",AC18="",AD18="",AU18=""),"Pflichtfelder fehlen; ","")&amp;IF(AND(ISNUMBER(AC18),AC18&gt;P_MaxWoche),"Wochenstunden &gt; Prüfgrenze; ","")&amp;IF(AND(BF18="Ja",ISNUMBER(AC18),AC18&gt;P_MaxWocheJugend),"Jugendlicher &gt; 40 h/Woche; ","")&amp;IF(AND(ISNUMBER(BD18),BD18&lt;P_Mindestlohn,Q18&lt;&gt;"Auszubildende/r",Q18&lt;&gt;"Praktikant/in"),"Mindestlohn unterschritten?; ","")&amp;IF(AND(Q18="Minijob (geringfügig)",ISNUMBER(BB18),BB18&gt;P_Minijob),"Minijob-Grenze überschritten; ","")&amp;IF(AND(R18="Ja",S18=""),"Befristung ohne Enddatum; ","")&amp;IF(AND(ISNUMBER(O18),ISNUMBER(N18),O18&lt;N18),"Austritt vor Eintritt; ","")&amp;IF(AND(ISNUMBER(AU18),ISNUMBER(AV18),AU18&lt;AV18),"Urlaub unter gesetzl. Minimum; ","")&amp;IF(AND(ISNUMBER(AC18),ISNUMBER(AF18),ABS(N(AC18)-N(AF18))&gt;0.01),"Wochenstd. weichen vom Modell ab; ","")&amp;IF(AND(AI18="Ja",OR(AJ18="",AK18="")),"Kontogrenzen fehlen; ","")&amp;IF(AND(AL18="Mit Gehalt abgegolten (Pauschale)",AM18=""),"Überstunden-Pauschale fehlt; ","")))</f>
        <v/>
      </c>
      <c r="BH18" s="38"/>
    </row>
    <row r="19" customFormat="false" ht="15" hidden="false" customHeight="false" outlineLevel="0" collapsed="false">
      <c r="A19" s="37"/>
      <c r="B19" s="38"/>
      <c r="C19" s="38"/>
      <c r="D19" s="38"/>
      <c r="E19" s="38"/>
      <c r="F19" s="39"/>
      <c r="G19" s="38"/>
      <c r="H19" s="38"/>
      <c r="I19" s="37"/>
      <c r="J19" s="38"/>
      <c r="K19" s="38"/>
      <c r="L19" s="38"/>
      <c r="M19" s="38"/>
      <c r="N19" s="39"/>
      <c r="O19" s="39"/>
      <c r="P19" s="38"/>
      <c r="Q19" s="38"/>
      <c r="R19" s="38"/>
      <c r="S19" s="39"/>
      <c r="T19" s="39"/>
      <c r="U19" s="38"/>
      <c r="V19" s="38"/>
      <c r="W19" s="37"/>
      <c r="X19" s="38"/>
      <c r="Y19" s="38"/>
      <c r="Z19" s="37"/>
      <c r="AA19" s="38"/>
      <c r="AB19" s="38"/>
      <c r="AC19" s="40"/>
      <c r="AD19" s="41"/>
      <c r="AE19" s="42" t="str">
        <f aca="false">IF(OR(A19="",NOT(ISNUMBER(AC19)),NOT(ISNUMBER(AD19))),"",IF(AD19&gt;0,AC19/AD19,""))</f>
        <v/>
      </c>
      <c r="AF19" s="42" t="str">
        <f aca="false">IF(OR(A19="",AB19=""),"",IFERROR(INDEX(Arbeitszeitmodelle!$C$5:$C$34,MATCH(AB19,Arbeitszeitmodelle!$A$5:$A$34,0)),""))</f>
        <v/>
      </c>
      <c r="AG19" s="38"/>
      <c r="AH19" s="38"/>
      <c r="AI19" s="38"/>
      <c r="AJ19" s="41"/>
      <c r="AK19" s="41"/>
      <c r="AL19" s="38"/>
      <c r="AM19" s="41"/>
      <c r="AN19" s="38"/>
      <c r="AO19" s="38"/>
      <c r="AP19" s="38"/>
      <c r="AQ19" s="38"/>
      <c r="AR19" s="41"/>
      <c r="AS19" s="40"/>
      <c r="AT19" s="39"/>
      <c r="AU19" s="41"/>
      <c r="AV19" s="43" t="str">
        <f aca="false">IF(OR(A19="",NOT(ISNUMBER(AD19))),"",P_MinUrlaubWerktage/6*AD19)</f>
        <v/>
      </c>
      <c r="AW19" s="43" t="str">
        <f aca="false">IF(A19="","",IF(M19="Ja",P_ZusatzSB*IF(ISNUMBER(AD19),AD19,5)/5,0))</f>
        <v/>
      </c>
      <c r="AX19" s="41"/>
      <c r="AY19" s="39"/>
      <c r="AZ19" s="43" t="str">
        <f aca="false">IF(OR(A19="",NOT(ISNUMBER(AU19))),"",SUM(AU19,AW19,AX19))</f>
        <v/>
      </c>
      <c r="BA19" s="38"/>
      <c r="BB19" s="44"/>
      <c r="BC19" s="44"/>
      <c r="BD19" s="45" t="str">
        <f aca="false">IF(A19="","",IF(BA19="Stundenlohn",IF(ISNUMBER(BC19),BC19,""),IF(AND(ISNUMBER(BB19),ISNUMBER(AC19)),IF(AC19&gt;0,BB19*12/(AC19*52),""),"")))</f>
        <v/>
      </c>
      <c r="BE19" s="46" t="str">
        <f aca="false">IF(OR(A19="",NOT(ISNUMBER(F19))),"",IFERROR(DATEDIF(F19,P_Stichtag,"Y"),""))</f>
        <v/>
      </c>
      <c r="BF19" s="47" t="str">
        <f aca="false">IF(OR(A19="",NOT(ISNUMBER(BE19))),"",IF(BE19&lt;18,"Ja","Nein"))</f>
        <v/>
      </c>
      <c r="BG19" s="48" t="str">
        <f aca="false">IF(A19="","",IF((IF(OR(B19="",C19="",F19="",N19="",Q19="",AB19="",AC19="",AD19="",AU19=""),"Pflichtfelder fehlen; ","")&amp;IF(AND(ISNUMBER(AC19),AC19&gt;P_MaxWoche),"Wochenstunden &gt; Prüfgrenze; ","")&amp;IF(AND(BF19="Ja",ISNUMBER(AC19),AC19&gt;P_MaxWocheJugend),"Jugendlicher &gt; 40 h/Woche; ","")&amp;IF(AND(ISNUMBER(BD19),BD19&lt;P_Mindestlohn,Q19&lt;&gt;"Auszubildende/r",Q19&lt;&gt;"Praktikant/in"),"Mindestlohn unterschritten?; ","")&amp;IF(AND(Q19="Minijob (geringfügig)",ISNUMBER(BB19),BB19&gt;P_Minijob),"Minijob-Grenze überschritten; ","")&amp;IF(AND(R19="Ja",S19=""),"Befristung ohne Enddatum; ","")&amp;IF(AND(ISNUMBER(O19),ISNUMBER(N19),O19&lt;N19),"Austritt vor Eintritt; ","")&amp;IF(AND(ISNUMBER(AU19),ISNUMBER(AV19),AU19&lt;AV19),"Urlaub unter gesetzl. Minimum; ","")&amp;IF(AND(ISNUMBER(AC19),ISNUMBER(AF19),ABS(N(AC19)-N(AF19))&gt;0.01),"Wochenstd. weichen vom Modell ab; ","")&amp;IF(AND(AI19="Ja",OR(AJ19="",AK19="")),"Kontogrenzen fehlen; ","")&amp;IF(AND(AL19="Mit Gehalt abgegolten (Pauschale)",AM19=""),"Überstunden-Pauschale fehlt; ",""))="","OK",IF(OR(B19="",C19="",F19="",N19="",Q19="",AB19="",AC19="",AD19="",AU19=""),"Pflichtfelder fehlen; ","")&amp;IF(AND(ISNUMBER(AC19),AC19&gt;P_MaxWoche),"Wochenstunden &gt; Prüfgrenze; ","")&amp;IF(AND(BF19="Ja",ISNUMBER(AC19),AC19&gt;P_MaxWocheJugend),"Jugendlicher &gt; 40 h/Woche; ","")&amp;IF(AND(ISNUMBER(BD19),BD19&lt;P_Mindestlohn,Q19&lt;&gt;"Auszubildende/r",Q19&lt;&gt;"Praktikant/in"),"Mindestlohn unterschritten?; ","")&amp;IF(AND(Q19="Minijob (geringfügig)",ISNUMBER(BB19),BB19&gt;P_Minijob),"Minijob-Grenze überschritten; ","")&amp;IF(AND(R19="Ja",S19=""),"Befristung ohne Enddatum; ","")&amp;IF(AND(ISNUMBER(O19),ISNUMBER(N19),O19&lt;N19),"Austritt vor Eintritt; ","")&amp;IF(AND(ISNUMBER(AU19),ISNUMBER(AV19),AU19&lt;AV19),"Urlaub unter gesetzl. Minimum; ","")&amp;IF(AND(ISNUMBER(AC19),ISNUMBER(AF19),ABS(N(AC19)-N(AF19))&gt;0.01),"Wochenstd. weichen vom Modell ab; ","")&amp;IF(AND(AI19="Ja",OR(AJ19="",AK19="")),"Kontogrenzen fehlen; ","")&amp;IF(AND(AL19="Mit Gehalt abgegolten (Pauschale)",AM19=""),"Überstunden-Pauschale fehlt; ","")))</f>
        <v/>
      </c>
      <c r="BH19" s="38"/>
    </row>
    <row r="20" customFormat="false" ht="15" hidden="false" customHeight="false" outlineLevel="0" collapsed="false">
      <c r="A20" s="37"/>
      <c r="B20" s="38"/>
      <c r="C20" s="38"/>
      <c r="D20" s="38"/>
      <c r="E20" s="38"/>
      <c r="F20" s="39"/>
      <c r="G20" s="38"/>
      <c r="H20" s="38"/>
      <c r="I20" s="37"/>
      <c r="J20" s="38"/>
      <c r="K20" s="38"/>
      <c r="L20" s="38"/>
      <c r="M20" s="38"/>
      <c r="N20" s="39"/>
      <c r="O20" s="39"/>
      <c r="P20" s="38"/>
      <c r="Q20" s="38"/>
      <c r="R20" s="38"/>
      <c r="S20" s="39"/>
      <c r="T20" s="39"/>
      <c r="U20" s="38"/>
      <c r="V20" s="38"/>
      <c r="W20" s="37"/>
      <c r="X20" s="38"/>
      <c r="Y20" s="38"/>
      <c r="Z20" s="37"/>
      <c r="AA20" s="38"/>
      <c r="AB20" s="38"/>
      <c r="AC20" s="40"/>
      <c r="AD20" s="41"/>
      <c r="AE20" s="42" t="str">
        <f aca="false">IF(OR(A20="",NOT(ISNUMBER(AC20)),NOT(ISNUMBER(AD20))),"",IF(AD20&gt;0,AC20/AD20,""))</f>
        <v/>
      </c>
      <c r="AF20" s="42" t="str">
        <f aca="false">IF(OR(A20="",AB20=""),"",IFERROR(INDEX(Arbeitszeitmodelle!$C$5:$C$34,MATCH(AB20,Arbeitszeitmodelle!$A$5:$A$34,0)),""))</f>
        <v/>
      </c>
      <c r="AG20" s="38"/>
      <c r="AH20" s="38"/>
      <c r="AI20" s="38"/>
      <c r="AJ20" s="41"/>
      <c r="AK20" s="41"/>
      <c r="AL20" s="38"/>
      <c r="AM20" s="41"/>
      <c r="AN20" s="38"/>
      <c r="AO20" s="38"/>
      <c r="AP20" s="38"/>
      <c r="AQ20" s="38"/>
      <c r="AR20" s="41"/>
      <c r="AS20" s="40"/>
      <c r="AT20" s="39"/>
      <c r="AU20" s="41"/>
      <c r="AV20" s="43" t="str">
        <f aca="false">IF(OR(A20="",NOT(ISNUMBER(AD20))),"",P_MinUrlaubWerktage/6*AD20)</f>
        <v/>
      </c>
      <c r="AW20" s="43" t="str">
        <f aca="false">IF(A20="","",IF(M20="Ja",P_ZusatzSB*IF(ISNUMBER(AD20),AD20,5)/5,0))</f>
        <v/>
      </c>
      <c r="AX20" s="41"/>
      <c r="AY20" s="39"/>
      <c r="AZ20" s="43" t="str">
        <f aca="false">IF(OR(A20="",NOT(ISNUMBER(AU20))),"",SUM(AU20,AW20,AX20))</f>
        <v/>
      </c>
      <c r="BA20" s="38"/>
      <c r="BB20" s="44"/>
      <c r="BC20" s="44"/>
      <c r="BD20" s="45" t="str">
        <f aca="false">IF(A20="","",IF(BA20="Stundenlohn",IF(ISNUMBER(BC20),BC20,""),IF(AND(ISNUMBER(BB20),ISNUMBER(AC20)),IF(AC20&gt;0,BB20*12/(AC20*52),""),"")))</f>
        <v/>
      </c>
      <c r="BE20" s="46" t="str">
        <f aca="false">IF(OR(A20="",NOT(ISNUMBER(F20))),"",IFERROR(DATEDIF(F20,P_Stichtag,"Y"),""))</f>
        <v/>
      </c>
      <c r="BF20" s="47" t="str">
        <f aca="false">IF(OR(A20="",NOT(ISNUMBER(BE20))),"",IF(BE20&lt;18,"Ja","Nein"))</f>
        <v/>
      </c>
      <c r="BG20" s="48" t="str">
        <f aca="false">IF(A20="","",IF((IF(OR(B20="",C20="",F20="",N20="",Q20="",AB20="",AC20="",AD20="",AU20=""),"Pflichtfelder fehlen; ","")&amp;IF(AND(ISNUMBER(AC20),AC20&gt;P_MaxWoche),"Wochenstunden &gt; Prüfgrenze; ","")&amp;IF(AND(BF20="Ja",ISNUMBER(AC20),AC20&gt;P_MaxWocheJugend),"Jugendlicher &gt; 40 h/Woche; ","")&amp;IF(AND(ISNUMBER(BD20),BD20&lt;P_Mindestlohn,Q20&lt;&gt;"Auszubildende/r",Q20&lt;&gt;"Praktikant/in"),"Mindestlohn unterschritten?; ","")&amp;IF(AND(Q20="Minijob (geringfügig)",ISNUMBER(BB20),BB20&gt;P_Minijob),"Minijob-Grenze überschritten; ","")&amp;IF(AND(R20="Ja",S20=""),"Befristung ohne Enddatum; ","")&amp;IF(AND(ISNUMBER(O20),ISNUMBER(N20),O20&lt;N20),"Austritt vor Eintritt; ","")&amp;IF(AND(ISNUMBER(AU20),ISNUMBER(AV20),AU20&lt;AV20),"Urlaub unter gesetzl. Minimum; ","")&amp;IF(AND(ISNUMBER(AC20),ISNUMBER(AF20),ABS(N(AC20)-N(AF20))&gt;0.01),"Wochenstd. weichen vom Modell ab; ","")&amp;IF(AND(AI20="Ja",OR(AJ20="",AK20="")),"Kontogrenzen fehlen; ","")&amp;IF(AND(AL20="Mit Gehalt abgegolten (Pauschale)",AM20=""),"Überstunden-Pauschale fehlt; ",""))="","OK",IF(OR(B20="",C20="",F20="",N20="",Q20="",AB20="",AC20="",AD20="",AU20=""),"Pflichtfelder fehlen; ","")&amp;IF(AND(ISNUMBER(AC20),AC20&gt;P_MaxWoche),"Wochenstunden &gt; Prüfgrenze; ","")&amp;IF(AND(BF20="Ja",ISNUMBER(AC20),AC20&gt;P_MaxWocheJugend),"Jugendlicher &gt; 40 h/Woche; ","")&amp;IF(AND(ISNUMBER(BD20),BD20&lt;P_Mindestlohn,Q20&lt;&gt;"Auszubildende/r",Q20&lt;&gt;"Praktikant/in"),"Mindestlohn unterschritten?; ","")&amp;IF(AND(Q20="Minijob (geringfügig)",ISNUMBER(BB20),BB20&gt;P_Minijob),"Minijob-Grenze überschritten; ","")&amp;IF(AND(R20="Ja",S20=""),"Befristung ohne Enddatum; ","")&amp;IF(AND(ISNUMBER(O20),ISNUMBER(N20),O20&lt;N20),"Austritt vor Eintritt; ","")&amp;IF(AND(ISNUMBER(AU20),ISNUMBER(AV20),AU20&lt;AV20),"Urlaub unter gesetzl. Minimum; ","")&amp;IF(AND(ISNUMBER(AC20),ISNUMBER(AF20),ABS(N(AC20)-N(AF20))&gt;0.01),"Wochenstd. weichen vom Modell ab; ","")&amp;IF(AND(AI20="Ja",OR(AJ20="",AK20="")),"Kontogrenzen fehlen; ","")&amp;IF(AND(AL20="Mit Gehalt abgegolten (Pauschale)",AM20=""),"Überstunden-Pauschale fehlt; ","")))</f>
        <v/>
      </c>
      <c r="BH20" s="38"/>
    </row>
    <row r="21" customFormat="false" ht="15" hidden="false" customHeight="false" outlineLevel="0" collapsed="false">
      <c r="A21" s="37"/>
      <c r="B21" s="38"/>
      <c r="C21" s="38"/>
      <c r="D21" s="38"/>
      <c r="E21" s="38"/>
      <c r="F21" s="39"/>
      <c r="G21" s="38"/>
      <c r="H21" s="38"/>
      <c r="I21" s="37"/>
      <c r="J21" s="38"/>
      <c r="K21" s="38"/>
      <c r="L21" s="38"/>
      <c r="M21" s="38"/>
      <c r="N21" s="39"/>
      <c r="O21" s="39"/>
      <c r="P21" s="38"/>
      <c r="Q21" s="38"/>
      <c r="R21" s="38"/>
      <c r="S21" s="39"/>
      <c r="T21" s="39"/>
      <c r="U21" s="38"/>
      <c r="V21" s="38"/>
      <c r="W21" s="37"/>
      <c r="X21" s="38"/>
      <c r="Y21" s="38"/>
      <c r="Z21" s="37"/>
      <c r="AA21" s="38"/>
      <c r="AB21" s="38"/>
      <c r="AC21" s="40"/>
      <c r="AD21" s="41"/>
      <c r="AE21" s="42" t="str">
        <f aca="false">IF(OR(A21="",NOT(ISNUMBER(AC21)),NOT(ISNUMBER(AD21))),"",IF(AD21&gt;0,AC21/AD21,""))</f>
        <v/>
      </c>
      <c r="AF21" s="42" t="str">
        <f aca="false">IF(OR(A21="",AB21=""),"",IFERROR(INDEX(Arbeitszeitmodelle!$C$5:$C$34,MATCH(AB21,Arbeitszeitmodelle!$A$5:$A$34,0)),""))</f>
        <v/>
      </c>
      <c r="AG21" s="38"/>
      <c r="AH21" s="38"/>
      <c r="AI21" s="38"/>
      <c r="AJ21" s="41"/>
      <c r="AK21" s="41"/>
      <c r="AL21" s="38"/>
      <c r="AM21" s="41"/>
      <c r="AN21" s="38"/>
      <c r="AO21" s="38"/>
      <c r="AP21" s="38"/>
      <c r="AQ21" s="38"/>
      <c r="AR21" s="41"/>
      <c r="AS21" s="40"/>
      <c r="AT21" s="39"/>
      <c r="AU21" s="41"/>
      <c r="AV21" s="43" t="str">
        <f aca="false">IF(OR(A21="",NOT(ISNUMBER(AD21))),"",P_MinUrlaubWerktage/6*AD21)</f>
        <v/>
      </c>
      <c r="AW21" s="43" t="str">
        <f aca="false">IF(A21="","",IF(M21="Ja",P_ZusatzSB*IF(ISNUMBER(AD21),AD21,5)/5,0))</f>
        <v/>
      </c>
      <c r="AX21" s="41"/>
      <c r="AY21" s="39"/>
      <c r="AZ21" s="43" t="str">
        <f aca="false">IF(OR(A21="",NOT(ISNUMBER(AU21))),"",SUM(AU21,AW21,AX21))</f>
        <v/>
      </c>
      <c r="BA21" s="38"/>
      <c r="BB21" s="44"/>
      <c r="BC21" s="44"/>
      <c r="BD21" s="45" t="str">
        <f aca="false">IF(A21="","",IF(BA21="Stundenlohn",IF(ISNUMBER(BC21),BC21,""),IF(AND(ISNUMBER(BB21),ISNUMBER(AC21)),IF(AC21&gt;0,BB21*12/(AC21*52),""),"")))</f>
        <v/>
      </c>
      <c r="BE21" s="46" t="str">
        <f aca="false">IF(OR(A21="",NOT(ISNUMBER(F21))),"",IFERROR(DATEDIF(F21,P_Stichtag,"Y"),""))</f>
        <v/>
      </c>
      <c r="BF21" s="47" t="str">
        <f aca="false">IF(OR(A21="",NOT(ISNUMBER(BE21))),"",IF(BE21&lt;18,"Ja","Nein"))</f>
        <v/>
      </c>
      <c r="BG21" s="48" t="str">
        <f aca="false">IF(A21="","",IF((IF(OR(B21="",C21="",F21="",N21="",Q21="",AB21="",AC21="",AD21="",AU21=""),"Pflichtfelder fehlen; ","")&amp;IF(AND(ISNUMBER(AC21),AC21&gt;P_MaxWoche),"Wochenstunden &gt; Prüfgrenze; ","")&amp;IF(AND(BF21="Ja",ISNUMBER(AC21),AC21&gt;P_MaxWocheJugend),"Jugendlicher &gt; 40 h/Woche; ","")&amp;IF(AND(ISNUMBER(BD21),BD21&lt;P_Mindestlohn,Q21&lt;&gt;"Auszubildende/r",Q21&lt;&gt;"Praktikant/in"),"Mindestlohn unterschritten?; ","")&amp;IF(AND(Q21="Minijob (geringfügig)",ISNUMBER(BB21),BB21&gt;P_Minijob),"Minijob-Grenze überschritten; ","")&amp;IF(AND(R21="Ja",S21=""),"Befristung ohne Enddatum; ","")&amp;IF(AND(ISNUMBER(O21),ISNUMBER(N21),O21&lt;N21),"Austritt vor Eintritt; ","")&amp;IF(AND(ISNUMBER(AU21),ISNUMBER(AV21),AU21&lt;AV21),"Urlaub unter gesetzl. Minimum; ","")&amp;IF(AND(ISNUMBER(AC21),ISNUMBER(AF21),ABS(N(AC21)-N(AF21))&gt;0.01),"Wochenstd. weichen vom Modell ab; ","")&amp;IF(AND(AI21="Ja",OR(AJ21="",AK21="")),"Kontogrenzen fehlen; ","")&amp;IF(AND(AL21="Mit Gehalt abgegolten (Pauschale)",AM21=""),"Überstunden-Pauschale fehlt; ",""))="","OK",IF(OR(B21="",C21="",F21="",N21="",Q21="",AB21="",AC21="",AD21="",AU21=""),"Pflichtfelder fehlen; ","")&amp;IF(AND(ISNUMBER(AC21),AC21&gt;P_MaxWoche),"Wochenstunden &gt; Prüfgrenze; ","")&amp;IF(AND(BF21="Ja",ISNUMBER(AC21),AC21&gt;P_MaxWocheJugend),"Jugendlicher &gt; 40 h/Woche; ","")&amp;IF(AND(ISNUMBER(BD21),BD21&lt;P_Mindestlohn,Q21&lt;&gt;"Auszubildende/r",Q21&lt;&gt;"Praktikant/in"),"Mindestlohn unterschritten?; ","")&amp;IF(AND(Q21="Minijob (geringfügig)",ISNUMBER(BB21),BB21&gt;P_Minijob),"Minijob-Grenze überschritten; ","")&amp;IF(AND(R21="Ja",S21=""),"Befristung ohne Enddatum; ","")&amp;IF(AND(ISNUMBER(O21),ISNUMBER(N21),O21&lt;N21),"Austritt vor Eintritt; ","")&amp;IF(AND(ISNUMBER(AU21),ISNUMBER(AV21),AU21&lt;AV21),"Urlaub unter gesetzl. Minimum; ","")&amp;IF(AND(ISNUMBER(AC21),ISNUMBER(AF21),ABS(N(AC21)-N(AF21))&gt;0.01),"Wochenstd. weichen vom Modell ab; ","")&amp;IF(AND(AI21="Ja",OR(AJ21="",AK21="")),"Kontogrenzen fehlen; ","")&amp;IF(AND(AL21="Mit Gehalt abgegolten (Pauschale)",AM21=""),"Überstunden-Pauschale fehlt; ","")))</f>
        <v/>
      </c>
      <c r="BH21" s="38"/>
    </row>
    <row r="22" customFormat="false" ht="15" hidden="false" customHeight="false" outlineLevel="0" collapsed="false">
      <c r="A22" s="37"/>
      <c r="B22" s="38"/>
      <c r="C22" s="38"/>
      <c r="D22" s="38"/>
      <c r="E22" s="38"/>
      <c r="F22" s="39"/>
      <c r="G22" s="38"/>
      <c r="H22" s="38"/>
      <c r="I22" s="37"/>
      <c r="J22" s="38"/>
      <c r="K22" s="38"/>
      <c r="L22" s="38"/>
      <c r="M22" s="38"/>
      <c r="N22" s="39"/>
      <c r="O22" s="39"/>
      <c r="P22" s="38"/>
      <c r="Q22" s="38"/>
      <c r="R22" s="38"/>
      <c r="S22" s="39"/>
      <c r="T22" s="39"/>
      <c r="U22" s="38"/>
      <c r="V22" s="38"/>
      <c r="W22" s="37"/>
      <c r="X22" s="38"/>
      <c r="Y22" s="38"/>
      <c r="Z22" s="37"/>
      <c r="AA22" s="38"/>
      <c r="AB22" s="38"/>
      <c r="AC22" s="40"/>
      <c r="AD22" s="41"/>
      <c r="AE22" s="42" t="str">
        <f aca="false">IF(OR(A22="",NOT(ISNUMBER(AC22)),NOT(ISNUMBER(AD22))),"",IF(AD22&gt;0,AC22/AD22,""))</f>
        <v/>
      </c>
      <c r="AF22" s="42" t="str">
        <f aca="false">IF(OR(A22="",AB22=""),"",IFERROR(INDEX(Arbeitszeitmodelle!$C$5:$C$34,MATCH(AB22,Arbeitszeitmodelle!$A$5:$A$34,0)),""))</f>
        <v/>
      </c>
      <c r="AG22" s="38"/>
      <c r="AH22" s="38"/>
      <c r="AI22" s="38"/>
      <c r="AJ22" s="41"/>
      <c r="AK22" s="41"/>
      <c r="AL22" s="38"/>
      <c r="AM22" s="41"/>
      <c r="AN22" s="38"/>
      <c r="AO22" s="38"/>
      <c r="AP22" s="38"/>
      <c r="AQ22" s="38"/>
      <c r="AR22" s="41"/>
      <c r="AS22" s="40"/>
      <c r="AT22" s="39"/>
      <c r="AU22" s="41"/>
      <c r="AV22" s="43" t="str">
        <f aca="false">IF(OR(A22="",NOT(ISNUMBER(AD22))),"",P_MinUrlaubWerktage/6*AD22)</f>
        <v/>
      </c>
      <c r="AW22" s="43" t="str">
        <f aca="false">IF(A22="","",IF(M22="Ja",P_ZusatzSB*IF(ISNUMBER(AD22),AD22,5)/5,0))</f>
        <v/>
      </c>
      <c r="AX22" s="41"/>
      <c r="AY22" s="39"/>
      <c r="AZ22" s="43" t="str">
        <f aca="false">IF(OR(A22="",NOT(ISNUMBER(AU22))),"",SUM(AU22,AW22,AX22))</f>
        <v/>
      </c>
      <c r="BA22" s="38"/>
      <c r="BB22" s="44"/>
      <c r="BC22" s="44"/>
      <c r="BD22" s="45" t="str">
        <f aca="false">IF(A22="","",IF(BA22="Stundenlohn",IF(ISNUMBER(BC22),BC22,""),IF(AND(ISNUMBER(BB22),ISNUMBER(AC22)),IF(AC22&gt;0,BB22*12/(AC22*52),""),"")))</f>
        <v/>
      </c>
      <c r="BE22" s="46" t="str">
        <f aca="false">IF(OR(A22="",NOT(ISNUMBER(F22))),"",IFERROR(DATEDIF(F22,P_Stichtag,"Y"),""))</f>
        <v/>
      </c>
      <c r="BF22" s="47" t="str">
        <f aca="false">IF(OR(A22="",NOT(ISNUMBER(BE22))),"",IF(BE22&lt;18,"Ja","Nein"))</f>
        <v/>
      </c>
      <c r="BG22" s="48" t="str">
        <f aca="false">IF(A22="","",IF((IF(OR(B22="",C22="",F22="",N22="",Q22="",AB22="",AC22="",AD22="",AU22=""),"Pflichtfelder fehlen; ","")&amp;IF(AND(ISNUMBER(AC22),AC22&gt;P_MaxWoche),"Wochenstunden &gt; Prüfgrenze; ","")&amp;IF(AND(BF22="Ja",ISNUMBER(AC22),AC22&gt;P_MaxWocheJugend),"Jugendlicher &gt; 40 h/Woche; ","")&amp;IF(AND(ISNUMBER(BD22),BD22&lt;P_Mindestlohn,Q22&lt;&gt;"Auszubildende/r",Q22&lt;&gt;"Praktikant/in"),"Mindestlohn unterschritten?; ","")&amp;IF(AND(Q22="Minijob (geringfügig)",ISNUMBER(BB22),BB22&gt;P_Minijob),"Minijob-Grenze überschritten; ","")&amp;IF(AND(R22="Ja",S22=""),"Befristung ohne Enddatum; ","")&amp;IF(AND(ISNUMBER(O22),ISNUMBER(N22),O22&lt;N22),"Austritt vor Eintritt; ","")&amp;IF(AND(ISNUMBER(AU22),ISNUMBER(AV22),AU22&lt;AV22),"Urlaub unter gesetzl. Minimum; ","")&amp;IF(AND(ISNUMBER(AC22),ISNUMBER(AF22),ABS(N(AC22)-N(AF22))&gt;0.01),"Wochenstd. weichen vom Modell ab; ","")&amp;IF(AND(AI22="Ja",OR(AJ22="",AK22="")),"Kontogrenzen fehlen; ","")&amp;IF(AND(AL22="Mit Gehalt abgegolten (Pauschale)",AM22=""),"Überstunden-Pauschale fehlt; ",""))="","OK",IF(OR(B22="",C22="",F22="",N22="",Q22="",AB22="",AC22="",AD22="",AU22=""),"Pflichtfelder fehlen; ","")&amp;IF(AND(ISNUMBER(AC22),AC22&gt;P_MaxWoche),"Wochenstunden &gt; Prüfgrenze; ","")&amp;IF(AND(BF22="Ja",ISNUMBER(AC22),AC22&gt;P_MaxWocheJugend),"Jugendlicher &gt; 40 h/Woche; ","")&amp;IF(AND(ISNUMBER(BD22),BD22&lt;P_Mindestlohn,Q22&lt;&gt;"Auszubildende/r",Q22&lt;&gt;"Praktikant/in"),"Mindestlohn unterschritten?; ","")&amp;IF(AND(Q22="Minijob (geringfügig)",ISNUMBER(BB22),BB22&gt;P_Minijob),"Minijob-Grenze überschritten; ","")&amp;IF(AND(R22="Ja",S22=""),"Befristung ohne Enddatum; ","")&amp;IF(AND(ISNUMBER(O22),ISNUMBER(N22),O22&lt;N22),"Austritt vor Eintritt; ","")&amp;IF(AND(ISNUMBER(AU22),ISNUMBER(AV22),AU22&lt;AV22),"Urlaub unter gesetzl. Minimum; ","")&amp;IF(AND(ISNUMBER(AC22),ISNUMBER(AF22),ABS(N(AC22)-N(AF22))&gt;0.01),"Wochenstd. weichen vom Modell ab; ","")&amp;IF(AND(AI22="Ja",OR(AJ22="",AK22="")),"Kontogrenzen fehlen; ","")&amp;IF(AND(AL22="Mit Gehalt abgegolten (Pauschale)",AM22=""),"Überstunden-Pauschale fehlt; ","")))</f>
        <v/>
      </c>
      <c r="BH22" s="38"/>
    </row>
    <row r="23" customFormat="false" ht="15" hidden="false" customHeight="false" outlineLevel="0" collapsed="false">
      <c r="A23" s="37"/>
      <c r="B23" s="38"/>
      <c r="C23" s="38"/>
      <c r="D23" s="38"/>
      <c r="E23" s="38"/>
      <c r="F23" s="39"/>
      <c r="G23" s="38"/>
      <c r="H23" s="38"/>
      <c r="I23" s="37"/>
      <c r="J23" s="38"/>
      <c r="K23" s="38"/>
      <c r="L23" s="38"/>
      <c r="M23" s="38"/>
      <c r="N23" s="39"/>
      <c r="O23" s="39"/>
      <c r="P23" s="38"/>
      <c r="Q23" s="38"/>
      <c r="R23" s="38"/>
      <c r="S23" s="39"/>
      <c r="T23" s="39"/>
      <c r="U23" s="38"/>
      <c r="V23" s="38"/>
      <c r="W23" s="37"/>
      <c r="X23" s="38"/>
      <c r="Y23" s="38"/>
      <c r="Z23" s="37"/>
      <c r="AA23" s="38"/>
      <c r="AB23" s="38"/>
      <c r="AC23" s="40"/>
      <c r="AD23" s="41"/>
      <c r="AE23" s="42" t="str">
        <f aca="false">IF(OR(A23="",NOT(ISNUMBER(AC23)),NOT(ISNUMBER(AD23))),"",IF(AD23&gt;0,AC23/AD23,""))</f>
        <v/>
      </c>
      <c r="AF23" s="42" t="str">
        <f aca="false">IF(OR(A23="",AB23=""),"",IFERROR(INDEX(Arbeitszeitmodelle!$C$5:$C$34,MATCH(AB23,Arbeitszeitmodelle!$A$5:$A$34,0)),""))</f>
        <v/>
      </c>
      <c r="AG23" s="38"/>
      <c r="AH23" s="38"/>
      <c r="AI23" s="38"/>
      <c r="AJ23" s="41"/>
      <c r="AK23" s="41"/>
      <c r="AL23" s="38"/>
      <c r="AM23" s="41"/>
      <c r="AN23" s="38"/>
      <c r="AO23" s="38"/>
      <c r="AP23" s="38"/>
      <c r="AQ23" s="38"/>
      <c r="AR23" s="41"/>
      <c r="AS23" s="40"/>
      <c r="AT23" s="39"/>
      <c r="AU23" s="41"/>
      <c r="AV23" s="43" t="str">
        <f aca="false">IF(OR(A23="",NOT(ISNUMBER(AD23))),"",P_MinUrlaubWerktage/6*AD23)</f>
        <v/>
      </c>
      <c r="AW23" s="43" t="str">
        <f aca="false">IF(A23="","",IF(M23="Ja",P_ZusatzSB*IF(ISNUMBER(AD23),AD23,5)/5,0))</f>
        <v/>
      </c>
      <c r="AX23" s="41"/>
      <c r="AY23" s="39"/>
      <c r="AZ23" s="43" t="str">
        <f aca="false">IF(OR(A23="",NOT(ISNUMBER(AU23))),"",SUM(AU23,AW23,AX23))</f>
        <v/>
      </c>
      <c r="BA23" s="38"/>
      <c r="BB23" s="44"/>
      <c r="BC23" s="44"/>
      <c r="BD23" s="45" t="str">
        <f aca="false">IF(A23="","",IF(BA23="Stundenlohn",IF(ISNUMBER(BC23),BC23,""),IF(AND(ISNUMBER(BB23),ISNUMBER(AC23)),IF(AC23&gt;0,BB23*12/(AC23*52),""),"")))</f>
        <v/>
      </c>
      <c r="BE23" s="46" t="str">
        <f aca="false">IF(OR(A23="",NOT(ISNUMBER(F23))),"",IFERROR(DATEDIF(F23,P_Stichtag,"Y"),""))</f>
        <v/>
      </c>
      <c r="BF23" s="47" t="str">
        <f aca="false">IF(OR(A23="",NOT(ISNUMBER(BE23))),"",IF(BE23&lt;18,"Ja","Nein"))</f>
        <v/>
      </c>
      <c r="BG23" s="48" t="str">
        <f aca="false">IF(A23="","",IF((IF(OR(B23="",C23="",F23="",N23="",Q23="",AB23="",AC23="",AD23="",AU23=""),"Pflichtfelder fehlen; ","")&amp;IF(AND(ISNUMBER(AC23),AC23&gt;P_MaxWoche),"Wochenstunden &gt; Prüfgrenze; ","")&amp;IF(AND(BF23="Ja",ISNUMBER(AC23),AC23&gt;P_MaxWocheJugend),"Jugendlicher &gt; 40 h/Woche; ","")&amp;IF(AND(ISNUMBER(BD23),BD23&lt;P_Mindestlohn,Q23&lt;&gt;"Auszubildende/r",Q23&lt;&gt;"Praktikant/in"),"Mindestlohn unterschritten?; ","")&amp;IF(AND(Q23="Minijob (geringfügig)",ISNUMBER(BB23),BB23&gt;P_Minijob),"Minijob-Grenze überschritten; ","")&amp;IF(AND(R23="Ja",S23=""),"Befristung ohne Enddatum; ","")&amp;IF(AND(ISNUMBER(O23),ISNUMBER(N23),O23&lt;N23),"Austritt vor Eintritt; ","")&amp;IF(AND(ISNUMBER(AU23),ISNUMBER(AV23),AU23&lt;AV23),"Urlaub unter gesetzl. Minimum; ","")&amp;IF(AND(ISNUMBER(AC23),ISNUMBER(AF23),ABS(N(AC23)-N(AF23))&gt;0.01),"Wochenstd. weichen vom Modell ab; ","")&amp;IF(AND(AI23="Ja",OR(AJ23="",AK23="")),"Kontogrenzen fehlen; ","")&amp;IF(AND(AL23="Mit Gehalt abgegolten (Pauschale)",AM23=""),"Überstunden-Pauschale fehlt; ",""))="","OK",IF(OR(B23="",C23="",F23="",N23="",Q23="",AB23="",AC23="",AD23="",AU23=""),"Pflichtfelder fehlen; ","")&amp;IF(AND(ISNUMBER(AC23),AC23&gt;P_MaxWoche),"Wochenstunden &gt; Prüfgrenze; ","")&amp;IF(AND(BF23="Ja",ISNUMBER(AC23),AC23&gt;P_MaxWocheJugend),"Jugendlicher &gt; 40 h/Woche; ","")&amp;IF(AND(ISNUMBER(BD23),BD23&lt;P_Mindestlohn,Q23&lt;&gt;"Auszubildende/r",Q23&lt;&gt;"Praktikant/in"),"Mindestlohn unterschritten?; ","")&amp;IF(AND(Q23="Minijob (geringfügig)",ISNUMBER(BB23),BB23&gt;P_Minijob),"Minijob-Grenze überschritten; ","")&amp;IF(AND(R23="Ja",S23=""),"Befristung ohne Enddatum; ","")&amp;IF(AND(ISNUMBER(O23),ISNUMBER(N23),O23&lt;N23),"Austritt vor Eintritt; ","")&amp;IF(AND(ISNUMBER(AU23),ISNUMBER(AV23),AU23&lt;AV23),"Urlaub unter gesetzl. Minimum; ","")&amp;IF(AND(ISNUMBER(AC23),ISNUMBER(AF23),ABS(N(AC23)-N(AF23))&gt;0.01),"Wochenstd. weichen vom Modell ab; ","")&amp;IF(AND(AI23="Ja",OR(AJ23="",AK23="")),"Kontogrenzen fehlen; ","")&amp;IF(AND(AL23="Mit Gehalt abgegolten (Pauschale)",AM23=""),"Überstunden-Pauschale fehlt; ","")))</f>
        <v/>
      </c>
      <c r="BH23" s="38"/>
    </row>
    <row r="24" customFormat="false" ht="15" hidden="false" customHeight="false" outlineLevel="0" collapsed="false">
      <c r="A24" s="37"/>
      <c r="B24" s="38"/>
      <c r="C24" s="38"/>
      <c r="D24" s="38"/>
      <c r="E24" s="38"/>
      <c r="F24" s="39"/>
      <c r="G24" s="38"/>
      <c r="H24" s="38"/>
      <c r="I24" s="37"/>
      <c r="J24" s="38"/>
      <c r="K24" s="38"/>
      <c r="L24" s="38"/>
      <c r="M24" s="38"/>
      <c r="N24" s="39"/>
      <c r="O24" s="39"/>
      <c r="P24" s="38"/>
      <c r="Q24" s="38"/>
      <c r="R24" s="38"/>
      <c r="S24" s="39"/>
      <c r="T24" s="39"/>
      <c r="U24" s="38"/>
      <c r="V24" s="38"/>
      <c r="W24" s="37"/>
      <c r="X24" s="38"/>
      <c r="Y24" s="38"/>
      <c r="Z24" s="37"/>
      <c r="AA24" s="38"/>
      <c r="AB24" s="38"/>
      <c r="AC24" s="40"/>
      <c r="AD24" s="41"/>
      <c r="AE24" s="42" t="str">
        <f aca="false">IF(OR(A24="",NOT(ISNUMBER(AC24)),NOT(ISNUMBER(AD24))),"",IF(AD24&gt;0,AC24/AD24,""))</f>
        <v/>
      </c>
      <c r="AF24" s="42" t="str">
        <f aca="false">IF(OR(A24="",AB24=""),"",IFERROR(INDEX(Arbeitszeitmodelle!$C$5:$C$34,MATCH(AB24,Arbeitszeitmodelle!$A$5:$A$34,0)),""))</f>
        <v/>
      </c>
      <c r="AG24" s="38"/>
      <c r="AH24" s="38"/>
      <c r="AI24" s="38"/>
      <c r="AJ24" s="41"/>
      <c r="AK24" s="41"/>
      <c r="AL24" s="38"/>
      <c r="AM24" s="41"/>
      <c r="AN24" s="38"/>
      <c r="AO24" s="38"/>
      <c r="AP24" s="38"/>
      <c r="AQ24" s="38"/>
      <c r="AR24" s="41"/>
      <c r="AS24" s="40"/>
      <c r="AT24" s="39"/>
      <c r="AU24" s="41"/>
      <c r="AV24" s="43" t="str">
        <f aca="false">IF(OR(A24="",NOT(ISNUMBER(AD24))),"",P_MinUrlaubWerktage/6*AD24)</f>
        <v/>
      </c>
      <c r="AW24" s="43" t="str">
        <f aca="false">IF(A24="","",IF(M24="Ja",P_ZusatzSB*IF(ISNUMBER(AD24),AD24,5)/5,0))</f>
        <v/>
      </c>
      <c r="AX24" s="41"/>
      <c r="AY24" s="39"/>
      <c r="AZ24" s="43" t="str">
        <f aca="false">IF(OR(A24="",NOT(ISNUMBER(AU24))),"",SUM(AU24,AW24,AX24))</f>
        <v/>
      </c>
      <c r="BA24" s="38"/>
      <c r="BB24" s="44"/>
      <c r="BC24" s="44"/>
      <c r="BD24" s="45" t="str">
        <f aca="false">IF(A24="","",IF(BA24="Stundenlohn",IF(ISNUMBER(BC24),BC24,""),IF(AND(ISNUMBER(BB24),ISNUMBER(AC24)),IF(AC24&gt;0,BB24*12/(AC24*52),""),"")))</f>
        <v/>
      </c>
      <c r="BE24" s="46" t="str">
        <f aca="false">IF(OR(A24="",NOT(ISNUMBER(F24))),"",IFERROR(DATEDIF(F24,P_Stichtag,"Y"),""))</f>
        <v/>
      </c>
      <c r="BF24" s="47" t="str">
        <f aca="false">IF(OR(A24="",NOT(ISNUMBER(BE24))),"",IF(BE24&lt;18,"Ja","Nein"))</f>
        <v/>
      </c>
      <c r="BG24" s="48" t="str">
        <f aca="false">IF(A24="","",IF((IF(OR(B24="",C24="",F24="",N24="",Q24="",AB24="",AC24="",AD24="",AU24=""),"Pflichtfelder fehlen; ","")&amp;IF(AND(ISNUMBER(AC24),AC24&gt;P_MaxWoche),"Wochenstunden &gt; Prüfgrenze; ","")&amp;IF(AND(BF24="Ja",ISNUMBER(AC24),AC24&gt;P_MaxWocheJugend),"Jugendlicher &gt; 40 h/Woche; ","")&amp;IF(AND(ISNUMBER(BD24),BD24&lt;P_Mindestlohn,Q24&lt;&gt;"Auszubildende/r",Q24&lt;&gt;"Praktikant/in"),"Mindestlohn unterschritten?; ","")&amp;IF(AND(Q24="Minijob (geringfügig)",ISNUMBER(BB24),BB24&gt;P_Minijob),"Minijob-Grenze überschritten; ","")&amp;IF(AND(R24="Ja",S24=""),"Befristung ohne Enddatum; ","")&amp;IF(AND(ISNUMBER(O24),ISNUMBER(N24),O24&lt;N24),"Austritt vor Eintritt; ","")&amp;IF(AND(ISNUMBER(AU24),ISNUMBER(AV24),AU24&lt;AV24),"Urlaub unter gesetzl. Minimum; ","")&amp;IF(AND(ISNUMBER(AC24),ISNUMBER(AF24),ABS(N(AC24)-N(AF24))&gt;0.01),"Wochenstd. weichen vom Modell ab; ","")&amp;IF(AND(AI24="Ja",OR(AJ24="",AK24="")),"Kontogrenzen fehlen; ","")&amp;IF(AND(AL24="Mit Gehalt abgegolten (Pauschale)",AM24=""),"Überstunden-Pauschale fehlt; ",""))="","OK",IF(OR(B24="",C24="",F24="",N24="",Q24="",AB24="",AC24="",AD24="",AU24=""),"Pflichtfelder fehlen; ","")&amp;IF(AND(ISNUMBER(AC24),AC24&gt;P_MaxWoche),"Wochenstunden &gt; Prüfgrenze; ","")&amp;IF(AND(BF24="Ja",ISNUMBER(AC24),AC24&gt;P_MaxWocheJugend),"Jugendlicher &gt; 40 h/Woche; ","")&amp;IF(AND(ISNUMBER(BD24),BD24&lt;P_Mindestlohn,Q24&lt;&gt;"Auszubildende/r",Q24&lt;&gt;"Praktikant/in"),"Mindestlohn unterschritten?; ","")&amp;IF(AND(Q24="Minijob (geringfügig)",ISNUMBER(BB24),BB24&gt;P_Minijob),"Minijob-Grenze überschritten; ","")&amp;IF(AND(R24="Ja",S24=""),"Befristung ohne Enddatum; ","")&amp;IF(AND(ISNUMBER(O24),ISNUMBER(N24),O24&lt;N24),"Austritt vor Eintritt; ","")&amp;IF(AND(ISNUMBER(AU24),ISNUMBER(AV24),AU24&lt;AV24),"Urlaub unter gesetzl. Minimum; ","")&amp;IF(AND(ISNUMBER(AC24),ISNUMBER(AF24),ABS(N(AC24)-N(AF24))&gt;0.01),"Wochenstd. weichen vom Modell ab; ","")&amp;IF(AND(AI24="Ja",OR(AJ24="",AK24="")),"Kontogrenzen fehlen; ","")&amp;IF(AND(AL24="Mit Gehalt abgegolten (Pauschale)",AM24=""),"Überstunden-Pauschale fehlt; ","")))</f>
        <v/>
      </c>
      <c r="BH24" s="38"/>
    </row>
    <row r="25" customFormat="false" ht="15" hidden="false" customHeight="false" outlineLevel="0" collapsed="false">
      <c r="A25" s="37"/>
      <c r="B25" s="38"/>
      <c r="C25" s="38"/>
      <c r="D25" s="38"/>
      <c r="E25" s="38"/>
      <c r="F25" s="39"/>
      <c r="G25" s="38"/>
      <c r="H25" s="38"/>
      <c r="I25" s="37"/>
      <c r="J25" s="38"/>
      <c r="K25" s="38"/>
      <c r="L25" s="38"/>
      <c r="M25" s="38"/>
      <c r="N25" s="39"/>
      <c r="O25" s="39"/>
      <c r="P25" s="38"/>
      <c r="Q25" s="38"/>
      <c r="R25" s="38"/>
      <c r="S25" s="39"/>
      <c r="T25" s="39"/>
      <c r="U25" s="38"/>
      <c r="V25" s="38"/>
      <c r="W25" s="37"/>
      <c r="X25" s="38"/>
      <c r="Y25" s="38"/>
      <c r="Z25" s="37"/>
      <c r="AA25" s="38"/>
      <c r="AB25" s="38"/>
      <c r="AC25" s="40"/>
      <c r="AD25" s="41"/>
      <c r="AE25" s="42" t="str">
        <f aca="false">IF(OR(A25="",NOT(ISNUMBER(AC25)),NOT(ISNUMBER(AD25))),"",IF(AD25&gt;0,AC25/AD25,""))</f>
        <v/>
      </c>
      <c r="AF25" s="42" t="str">
        <f aca="false">IF(OR(A25="",AB25=""),"",IFERROR(INDEX(Arbeitszeitmodelle!$C$5:$C$34,MATCH(AB25,Arbeitszeitmodelle!$A$5:$A$34,0)),""))</f>
        <v/>
      </c>
      <c r="AG25" s="38"/>
      <c r="AH25" s="38"/>
      <c r="AI25" s="38"/>
      <c r="AJ25" s="41"/>
      <c r="AK25" s="41"/>
      <c r="AL25" s="38"/>
      <c r="AM25" s="41"/>
      <c r="AN25" s="38"/>
      <c r="AO25" s="38"/>
      <c r="AP25" s="38"/>
      <c r="AQ25" s="38"/>
      <c r="AR25" s="41"/>
      <c r="AS25" s="40"/>
      <c r="AT25" s="39"/>
      <c r="AU25" s="41"/>
      <c r="AV25" s="43" t="str">
        <f aca="false">IF(OR(A25="",NOT(ISNUMBER(AD25))),"",P_MinUrlaubWerktage/6*AD25)</f>
        <v/>
      </c>
      <c r="AW25" s="43" t="str">
        <f aca="false">IF(A25="","",IF(M25="Ja",P_ZusatzSB*IF(ISNUMBER(AD25),AD25,5)/5,0))</f>
        <v/>
      </c>
      <c r="AX25" s="41"/>
      <c r="AY25" s="39"/>
      <c r="AZ25" s="43" t="str">
        <f aca="false">IF(OR(A25="",NOT(ISNUMBER(AU25))),"",SUM(AU25,AW25,AX25))</f>
        <v/>
      </c>
      <c r="BA25" s="38"/>
      <c r="BB25" s="44"/>
      <c r="BC25" s="44"/>
      <c r="BD25" s="45" t="str">
        <f aca="false">IF(A25="","",IF(BA25="Stundenlohn",IF(ISNUMBER(BC25),BC25,""),IF(AND(ISNUMBER(BB25),ISNUMBER(AC25)),IF(AC25&gt;0,BB25*12/(AC25*52),""),"")))</f>
        <v/>
      </c>
      <c r="BE25" s="46" t="str">
        <f aca="false">IF(OR(A25="",NOT(ISNUMBER(F25))),"",IFERROR(DATEDIF(F25,P_Stichtag,"Y"),""))</f>
        <v/>
      </c>
      <c r="BF25" s="47" t="str">
        <f aca="false">IF(OR(A25="",NOT(ISNUMBER(BE25))),"",IF(BE25&lt;18,"Ja","Nein"))</f>
        <v/>
      </c>
      <c r="BG25" s="48" t="str">
        <f aca="false">IF(A25="","",IF((IF(OR(B25="",C25="",F25="",N25="",Q25="",AB25="",AC25="",AD25="",AU25=""),"Pflichtfelder fehlen; ","")&amp;IF(AND(ISNUMBER(AC25),AC25&gt;P_MaxWoche),"Wochenstunden &gt; Prüfgrenze; ","")&amp;IF(AND(BF25="Ja",ISNUMBER(AC25),AC25&gt;P_MaxWocheJugend),"Jugendlicher &gt; 40 h/Woche; ","")&amp;IF(AND(ISNUMBER(BD25),BD25&lt;P_Mindestlohn,Q25&lt;&gt;"Auszubildende/r",Q25&lt;&gt;"Praktikant/in"),"Mindestlohn unterschritten?; ","")&amp;IF(AND(Q25="Minijob (geringfügig)",ISNUMBER(BB25),BB25&gt;P_Minijob),"Minijob-Grenze überschritten; ","")&amp;IF(AND(R25="Ja",S25=""),"Befristung ohne Enddatum; ","")&amp;IF(AND(ISNUMBER(O25),ISNUMBER(N25),O25&lt;N25),"Austritt vor Eintritt; ","")&amp;IF(AND(ISNUMBER(AU25),ISNUMBER(AV25),AU25&lt;AV25),"Urlaub unter gesetzl. Minimum; ","")&amp;IF(AND(ISNUMBER(AC25),ISNUMBER(AF25),ABS(N(AC25)-N(AF25))&gt;0.01),"Wochenstd. weichen vom Modell ab; ","")&amp;IF(AND(AI25="Ja",OR(AJ25="",AK25="")),"Kontogrenzen fehlen; ","")&amp;IF(AND(AL25="Mit Gehalt abgegolten (Pauschale)",AM25=""),"Überstunden-Pauschale fehlt; ",""))="","OK",IF(OR(B25="",C25="",F25="",N25="",Q25="",AB25="",AC25="",AD25="",AU25=""),"Pflichtfelder fehlen; ","")&amp;IF(AND(ISNUMBER(AC25),AC25&gt;P_MaxWoche),"Wochenstunden &gt; Prüfgrenze; ","")&amp;IF(AND(BF25="Ja",ISNUMBER(AC25),AC25&gt;P_MaxWocheJugend),"Jugendlicher &gt; 40 h/Woche; ","")&amp;IF(AND(ISNUMBER(BD25),BD25&lt;P_Mindestlohn,Q25&lt;&gt;"Auszubildende/r",Q25&lt;&gt;"Praktikant/in"),"Mindestlohn unterschritten?; ","")&amp;IF(AND(Q25="Minijob (geringfügig)",ISNUMBER(BB25),BB25&gt;P_Minijob),"Minijob-Grenze überschritten; ","")&amp;IF(AND(R25="Ja",S25=""),"Befristung ohne Enddatum; ","")&amp;IF(AND(ISNUMBER(O25),ISNUMBER(N25),O25&lt;N25),"Austritt vor Eintritt; ","")&amp;IF(AND(ISNUMBER(AU25),ISNUMBER(AV25),AU25&lt;AV25),"Urlaub unter gesetzl. Minimum; ","")&amp;IF(AND(ISNUMBER(AC25),ISNUMBER(AF25),ABS(N(AC25)-N(AF25))&gt;0.01),"Wochenstd. weichen vom Modell ab; ","")&amp;IF(AND(AI25="Ja",OR(AJ25="",AK25="")),"Kontogrenzen fehlen; ","")&amp;IF(AND(AL25="Mit Gehalt abgegolten (Pauschale)",AM25=""),"Überstunden-Pauschale fehlt; ","")))</f>
        <v/>
      </c>
      <c r="BH25" s="38"/>
    </row>
    <row r="26" customFormat="false" ht="15" hidden="false" customHeight="false" outlineLevel="0" collapsed="false">
      <c r="A26" s="37"/>
      <c r="B26" s="38"/>
      <c r="C26" s="38"/>
      <c r="D26" s="38"/>
      <c r="E26" s="38"/>
      <c r="F26" s="39"/>
      <c r="G26" s="38"/>
      <c r="H26" s="38"/>
      <c r="I26" s="37"/>
      <c r="J26" s="38"/>
      <c r="K26" s="38"/>
      <c r="L26" s="38"/>
      <c r="M26" s="38"/>
      <c r="N26" s="39"/>
      <c r="O26" s="39"/>
      <c r="P26" s="38"/>
      <c r="Q26" s="38"/>
      <c r="R26" s="38"/>
      <c r="S26" s="39"/>
      <c r="T26" s="39"/>
      <c r="U26" s="38"/>
      <c r="V26" s="38"/>
      <c r="W26" s="37"/>
      <c r="X26" s="38"/>
      <c r="Y26" s="38"/>
      <c r="Z26" s="37"/>
      <c r="AA26" s="38"/>
      <c r="AB26" s="38"/>
      <c r="AC26" s="40"/>
      <c r="AD26" s="41"/>
      <c r="AE26" s="42" t="str">
        <f aca="false">IF(OR(A26="",NOT(ISNUMBER(AC26)),NOT(ISNUMBER(AD26))),"",IF(AD26&gt;0,AC26/AD26,""))</f>
        <v/>
      </c>
      <c r="AF26" s="42" t="str">
        <f aca="false">IF(OR(A26="",AB26=""),"",IFERROR(INDEX(Arbeitszeitmodelle!$C$5:$C$34,MATCH(AB26,Arbeitszeitmodelle!$A$5:$A$34,0)),""))</f>
        <v/>
      </c>
      <c r="AG26" s="38"/>
      <c r="AH26" s="38"/>
      <c r="AI26" s="38"/>
      <c r="AJ26" s="41"/>
      <c r="AK26" s="41"/>
      <c r="AL26" s="38"/>
      <c r="AM26" s="41"/>
      <c r="AN26" s="38"/>
      <c r="AO26" s="38"/>
      <c r="AP26" s="38"/>
      <c r="AQ26" s="38"/>
      <c r="AR26" s="41"/>
      <c r="AS26" s="40"/>
      <c r="AT26" s="39"/>
      <c r="AU26" s="41"/>
      <c r="AV26" s="43" t="str">
        <f aca="false">IF(OR(A26="",NOT(ISNUMBER(AD26))),"",P_MinUrlaubWerktage/6*AD26)</f>
        <v/>
      </c>
      <c r="AW26" s="43" t="str">
        <f aca="false">IF(A26="","",IF(M26="Ja",P_ZusatzSB*IF(ISNUMBER(AD26),AD26,5)/5,0))</f>
        <v/>
      </c>
      <c r="AX26" s="41"/>
      <c r="AY26" s="39"/>
      <c r="AZ26" s="43" t="str">
        <f aca="false">IF(OR(A26="",NOT(ISNUMBER(AU26))),"",SUM(AU26,AW26,AX26))</f>
        <v/>
      </c>
      <c r="BA26" s="38"/>
      <c r="BB26" s="44"/>
      <c r="BC26" s="44"/>
      <c r="BD26" s="45" t="str">
        <f aca="false">IF(A26="","",IF(BA26="Stundenlohn",IF(ISNUMBER(BC26),BC26,""),IF(AND(ISNUMBER(BB26),ISNUMBER(AC26)),IF(AC26&gt;0,BB26*12/(AC26*52),""),"")))</f>
        <v/>
      </c>
      <c r="BE26" s="46" t="str">
        <f aca="false">IF(OR(A26="",NOT(ISNUMBER(F26))),"",IFERROR(DATEDIF(F26,P_Stichtag,"Y"),""))</f>
        <v/>
      </c>
      <c r="BF26" s="47" t="str">
        <f aca="false">IF(OR(A26="",NOT(ISNUMBER(BE26))),"",IF(BE26&lt;18,"Ja","Nein"))</f>
        <v/>
      </c>
      <c r="BG26" s="48" t="str">
        <f aca="false">IF(A26="","",IF((IF(OR(B26="",C26="",F26="",N26="",Q26="",AB26="",AC26="",AD26="",AU26=""),"Pflichtfelder fehlen; ","")&amp;IF(AND(ISNUMBER(AC26),AC26&gt;P_MaxWoche),"Wochenstunden &gt; Prüfgrenze; ","")&amp;IF(AND(BF26="Ja",ISNUMBER(AC26),AC26&gt;P_MaxWocheJugend),"Jugendlicher &gt; 40 h/Woche; ","")&amp;IF(AND(ISNUMBER(BD26),BD26&lt;P_Mindestlohn,Q26&lt;&gt;"Auszubildende/r",Q26&lt;&gt;"Praktikant/in"),"Mindestlohn unterschritten?; ","")&amp;IF(AND(Q26="Minijob (geringfügig)",ISNUMBER(BB26),BB26&gt;P_Minijob),"Minijob-Grenze überschritten; ","")&amp;IF(AND(R26="Ja",S26=""),"Befristung ohne Enddatum; ","")&amp;IF(AND(ISNUMBER(O26),ISNUMBER(N26),O26&lt;N26),"Austritt vor Eintritt; ","")&amp;IF(AND(ISNUMBER(AU26),ISNUMBER(AV26),AU26&lt;AV26),"Urlaub unter gesetzl. Minimum; ","")&amp;IF(AND(ISNUMBER(AC26),ISNUMBER(AF26),ABS(N(AC26)-N(AF26))&gt;0.01),"Wochenstd. weichen vom Modell ab; ","")&amp;IF(AND(AI26="Ja",OR(AJ26="",AK26="")),"Kontogrenzen fehlen; ","")&amp;IF(AND(AL26="Mit Gehalt abgegolten (Pauschale)",AM26=""),"Überstunden-Pauschale fehlt; ",""))="","OK",IF(OR(B26="",C26="",F26="",N26="",Q26="",AB26="",AC26="",AD26="",AU26=""),"Pflichtfelder fehlen; ","")&amp;IF(AND(ISNUMBER(AC26),AC26&gt;P_MaxWoche),"Wochenstunden &gt; Prüfgrenze; ","")&amp;IF(AND(BF26="Ja",ISNUMBER(AC26),AC26&gt;P_MaxWocheJugend),"Jugendlicher &gt; 40 h/Woche; ","")&amp;IF(AND(ISNUMBER(BD26),BD26&lt;P_Mindestlohn,Q26&lt;&gt;"Auszubildende/r",Q26&lt;&gt;"Praktikant/in"),"Mindestlohn unterschritten?; ","")&amp;IF(AND(Q26="Minijob (geringfügig)",ISNUMBER(BB26),BB26&gt;P_Minijob),"Minijob-Grenze überschritten; ","")&amp;IF(AND(R26="Ja",S26=""),"Befristung ohne Enddatum; ","")&amp;IF(AND(ISNUMBER(O26),ISNUMBER(N26),O26&lt;N26),"Austritt vor Eintritt; ","")&amp;IF(AND(ISNUMBER(AU26),ISNUMBER(AV26),AU26&lt;AV26),"Urlaub unter gesetzl. Minimum; ","")&amp;IF(AND(ISNUMBER(AC26),ISNUMBER(AF26),ABS(N(AC26)-N(AF26))&gt;0.01),"Wochenstd. weichen vom Modell ab; ","")&amp;IF(AND(AI26="Ja",OR(AJ26="",AK26="")),"Kontogrenzen fehlen; ","")&amp;IF(AND(AL26="Mit Gehalt abgegolten (Pauschale)",AM26=""),"Überstunden-Pauschale fehlt; ","")))</f>
        <v/>
      </c>
      <c r="BH26" s="38"/>
    </row>
    <row r="27" customFormat="false" ht="15" hidden="false" customHeight="false" outlineLevel="0" collapsed="false">
      <c r="A27" s="37"/>
      <c r="B27" s="38"/>
      <c r="C27" s="38"/>
      <c r="D27" s="38"/>
      <c r="E27" s="38"/>
      <c r="F27" s="39"/>
      <c r="G27" s="38"/>
      <c r="H27" s="38"/>
      <c r="I27" s="37"/>
      <c r="J27" s="38"/>
      <c r="K27" s="38"/>
      <c r="L27" s="38"/>
      <c r="M27" s="38"/>
      <c r="N27" s="39"/>
      <c r="O27" s="39"/>
      <c r="P27" s="38"/>
      <c r="Q27" s="38"/>
      <c r="R27" s="38"/>
      <c r="S27" s="39"/>
      <c r="T27" s="39"/>
      <c r="U27" s="38"/>
      <c r="V27" s="38"/>
      <c r="W27" s="37"/>
      <c r="X27" s="38"/>
      <c r="Y27" s="38"/>
      <c r="Z27" s="37"/>
      <c r="AA27" s="38"/>
      <c r="AB27" s="38"/>
      <c r="AC27" s="40"/>
      <c r="AD27" s="41"/>
      <c r="AE27" s="42" t="str">
        <f aca="false">IF(OR(A27="",NOT(ISNUMBER(AC27)),NOT(ISNUMBER(AD27))),"",IF(AD27&gt;0,AC27/AD27,""))</f>
        <v/>
      </c>
      <c r="AF27" s="42" t="str">
        <f aca="false">IF(OR(A27="",AB27=""),"",IFERROR(INDEX(Arbeitszeitmodelle!$C$5:$C$34,MATCH(AB27,Arbeitszeitmodelle!$A$5:$A$34,0)),""))</f>
        <v/>
      </c>
      <c r="AG27" s="38"/>
      <c r="AH27" s="38"/>
      <c r="AI27" s="38"/>
      <c r="AJ27" s="41"/>
      <c r="AK27" s="41"/>
      <c r="AL27" s="38"/>
      <c r="AM27" s="41"/>
      <c r="AN27" s="38"/>
      <c r="AO27" s="38"/>
      <c r="AP27" s="38"/>
      <c r="AQ27" s="38"/>
      <c r="AR27" s="41"/>
      <c r="AS27" s="40"/>
      <c r="AT27" s="39"/>
      <c r="AU27" s="41"/>
      <c r="AV27" s="43" t="str">
        <f aca="false">IF(OR(A27="",NOT(ISNUMBER(AD27))),"",P_MinUrlaubWerktage/6*AD27)</f>
        <v/>
      </c>
      <c r="AW27" s="43" t="str">
        <f aca="false">IF(A27="","",IF(M27="Ja",P_ZusatzSB*IF(ISNUMBER(AD27),AD27,5)/5,0))</f>
        <v/>
      </c>
      <c r="AX27" s="41"/>
      <c r="AY27" s="39"/>
      <c r="AZ27" s="43" t="str">
        <f aca="false">IF(OR(A27="",NOT(ISNUMBER(AU27))),"",SUM(AU27,AW27,AX27))</f>
        <v/>
      </c>
      <c r="BA27" s="38"/>
      <c r="BB27" s="44"/>
      <c r="BC27" s="44"/>
      <c r="BD27" s="45" t="str">
        <f aca="false">IF(A27="","",IF(BA27="Stundenlohn",IF(ISNUMBER(BC27),BC27,""),IF(AND(ISNUMBER(BB27),ISNUMBER(AC27)),IF(AC27&gt;0,BB27*12/(AC27*52),""),"")))</f>
        <v/>
      </c>
      <c r="BE27" s="46" t="str">
        <f aca="false">IF(OR(A27="",NOT(ISNUMBER(F27))),"",IFERROR(DATEDIF(F27,P_Stichtag,"Y"),""))</f>
        <v/>
      </c>
      <c r="BF27" s="47" t="str">
        <f aca="false">IF(OR(A27="",NOT(ISNUMBER(BE27))),"",IF(BE27&lt;18,"Ja","Nein"))</f>
        <v/>
      </c>
      <c r="BG27" s="48" t="str">
        <f aca="false">IF(A27="","",IF((IF(OR(B27="",C27="",F27="",N27="",Q27="",AB27="",AC27="",AD27="",AU27=""),"Pflichtfelder fehlen; ","")&amp;IF(AND(ISNUMBER(AC27),AC27&gt;P_MaxWoche),"Wochenstunden &gt; Prüfgrenze; ","")&amp;IF(AND(BF27="Ja",ISNUMBER(AC27),AC27&gt;P_MaxWocheJugend),"Jugendlicher &gt; 40 h/Woche; ","")&amp;IF(AND(ISNUMBER(BD27),BD27&lt;P_Mindestlohn,Q27&lt;&gt;"Auszubildende/r",Q27&lt;&gt;"Praktikant/in"),"Mindestlohn unterschritten?; ","")&amp;IF(AND(Q27="Minijob (geringfügig)",ISNUMBER(BB27),BB27&gt;P_Minijob),"Minijob-Grenze überschritten; ","")&amp;IF(AND(R27="Ja",S27=""),"Befristung ohne Enddatum; ","")&amp;IF(AND(ISNUMBER(O27),ISNUMBER(N27),O27&lt;N27),"Austritt vor Eintritt; ","")&amp;IF(AND(ISNUMBER(AU27),ISNUMBER(AV27),AU27&lt;AV27),"Urlaub unter gesetzl. Minimum; ","")&amp;IF(AND(ISNUMBER(AC27),ISNUMBER(AF27),ABS(N(AC27)-N(AF27))&gt;0.01),"Wochenstd. weichen vom Modell ab; ","")&amp;IF(AND(AI27="Ja",OR(AJ27="",AK27="")),"Kontogrenzen fehlen; ","")&amp;IF(AND(AL27="Mit Gehalt abgegolten (Pauschale)",AM27=""),"Überstunden-Pauschale fehlt; ",""))="","OK",IF(OR(B27="",C27="",F27="",N27="",Q27="",AB27="",AC27="",AD27="",AU27=""),"Pflichtfelder fehlen; ","")&amp;IF(AND(ISNUMBER(AC27),AC27&gt;P_MaxWoche),"Wochenstunden &gt; Prüfgrenze; ","")&amp;IF(AND(BF27="Ja",ISNUMBER(AC27),AC27&gt;P_MaxWocheJugend),"Jugendlicher &gt; 40 h/Woche; ","")&amp;IF(AND(ISNUMBER(BD27),BD27&lt;P_Mindestlohn,Q27&lt;&gt;"Auszubildende/r",Q27&lt;&gt;"Praktikant/in"),"Mindestlohn unterschritten?; ","")&amp;IF(AND(Q27="Minijob (geringfügig)",ISNUMBER(BB27),BB27&gt;P_Minijob),"Minijob-Grenze überschritten; ","")&amp;IF(AND(R27="Ja",S27=""),"Befristung ohne Enddatum; ","")&amp;IF(AND(ISNUMBER(O27),ISNUMBER(N27),O27&lt;N27),"Austritt vor Eintritt; ","")&amp;IF(AND(ISNUMBER(AU27),ISNUMBER(AV27),AU27&lt;AV27),"Urlaub unter gesetzl. Minimum; ","")&amp;IF(AND(ISNUMBER(AC27),ISNUMBER(AF27),ABS(N(AC27)-N(AF27))&gt;0.01),"Wochenstd. weichen vom Modell ab; ","")&amp;IF(AND(AI27="Ja",OR(AJ27="",AK27="")),"Kontogrenzen fehlen; ","")&amp;IF(AND(AL27="Mit Gehalt abgegolten (Pauschale)",AM27=""),"Überstunden-Pauschale fehlt; ","")))</f>
        <v/>
      </c>
      <c r="BH27" s="38"/>
    </row>
    <row r="28" customFormat="false" ht="15" hidden="false" customHeight="false" outlineLevel="0" collapsed="false">
      <c r="A28" s="37"/>
      <c r="B28" s="38"/>
      <c r="C28" s="38"/>
      <c r="D28" s="38"/>
      <c r="E28" s="38"/>
      <c r="F28" s="39"/>
      <c r="G28" s="38"/>
      <c r="H28" s="38"/>
      <c r="I28" s="37"/>
      <c r="J28" s="38"/>
      <c r="K28" s="38"/>
      <c r="L28" s="38"/>
      <c r="M28" s="38"/>
      <c r="N28" s="39"/>
      <c r="O28" s="39"/>
      <c r="P28" s="38"/>
      <c r="Q28" s="38"/>
      <c r="R28" s="38"/>
      <c r="S28" s="39"/>
      <c r="T28" s="39"/>
      <c r="U28" s="38"/>
      <c r="V28" s="38"/>
      <c r="W28" s="37"/>
      <c r="X28" s="38"/>
      <c r="Y28" s="38"/>
      <c r="Z28" s="37"/>
      <c r="AA28" s="38"/>
      <c r="AB28" s="38"/>
      <c r="AC28" s="40"/>
      <c r="AD28" s="41"/>
      <c r="AE28" s="42" t="str">
        <f aca="false">IF(OR(A28="",NOT(ISNUMBER(AC28)),NOT(ISNUMBER(AD28))),"",IF(AD28&gt;0,AC28/AD28,""))</f>
        <v/>
      </c>
      <c r="AF28" s="42" t="str">
        <f aca="false">IF(OR(A28="",AB28=""),"",IFERROR(INDEX(Arbeitszeitmodelle!$C$5:$C$34,MATCH(AB28,Arbeitszeitmodelle!$A$5:$A$34,0)),""))</f>
        <v/>
      </c>
      <c r="AG28" s="38"/>
      <c r="AH28" s="38"/>
      <c r="AI28" s="38"/>
      <c r="AJ28" s="41"/>
      <c r="AK28" s="41"/>
      <c r="AL28" s="38"/>
      <c r="AM28" s="41"/>
      <c r="AN28" s="38"/>
      <c r="AO28" s="38"/>
      <c r="AP28" s="38"/>
      <c r="AQ28" s="38"/>
      <c r="AR28" s="41"/>
      <c r="AS28" s="40"/>
      <c r="AT28" s="39"/>
      <c r="AU28" s="41"/>
      <c r="AV28" s="43" t="str">
        <f aca="false">IF(OR(A28="",NOT(ISNUMBER(AD28))),"",P_MinUrlaubWerktage/6*AD28)</f>
        <v/>
      </c>
      <c r="AW28" s="43" t="str">
        <f aca="false">IF(A28="","",IF(M28="Ja",P_ZusatzSB*IF(ISNUMBER(AD28),AD28,5)/5,0))</f>
        <v/>
      </c>
      <c r="AX28" s="41"/>
      <c r="AY28" s="39"/>
      <c r="AZ28" s="43" t="str">
        <f aca="false">IF(OR(A28="",NOT(ISNUMBER(AU28))),"",SUM(AU28,AW28,AX28))</f>
        <v/>
      </c>
      <c r="BA28" s="38"/>
      <c r="BB28" s="44"/>
      <c r="BC28" s="44"/>
      <c r="BD28" s="45" t="str">
        <f aca="false">IF(A28="","",IF(BA28="Stundenlohn",IF(ISNUMBER(BC28),BC28,""),IF(AND(ISNUMBER(BB28),ISNUMBER(AC28)),IF(AC28&gt;0,BB28*12/(AC28*52),""),"")))</f>
        <v/>
      </c>
      <c r="BE28" s="46" t="str">
        <f aca="false">IF(OR(A28="",NOT(ISNUMBER(F28))),"",IFERROR(DATEDIF(F28,P_Stichtag,"Y"),""))</f>
        <v/>
      </c>
      <c r="BF28" s="47" t="str">
        <f aca="false">IF(OR(A28="",NOT(ISNUMBER(BE28))),"",IF(BE28&lt;18,"Ja","Nein"))</f>
        <v/>
      </c>
      <c r="BG28" s="48" t="str">
        <f aca="false">IF(A28="","",IF((IF(OR(B28="",C28="",F28="",N28="",Q28="",AB28="",AC28="",AD28="",AU28=""),"Pflichtfelder fehlen; ","")&amp;IF(AND(ISNUMBER(AC28),AC28&gt;P_MaxWoche),"Wochenstunden &gt; Prüfgrenze; ","")&amp;IF(AND(BF28="Ja",ISNUMBER(AC28),AC28&gt;P_MaxWocheJugend),"Jugendlicher &gt; 40 h/Woche; ","")&amp;IF(AND(ISNUMBER(BD28),BD28&lt;P_Mindestlohn,Q28&lt;&gt;"Auszubildende/r",Q28&lt;&gt;"Praktikant/in"),"Mindestlohn unterschritten?; ","")&amp;IF(AND(Q28="Minijob (geringfügig)",ISNUMBER(BB28),BB28&gt;P_Minijob),"Minijob-Grenze überschritten; ","")&amp;IF(AND(R28="Ja",S28=""),"Befristung ohne Enddatum; ","")&amp;IF(AND(ISNUMBER(O28),ISNUMBER(N28),O28&lt;N28),"Austritt vor Eintritt; ","")&amp;IF(AND(ISNUMBER(AU28),ISNUMBER(AV28),AU28&lt;AV28),"Urlaub unter gesetzl. Minimum; ","")&amp;IF(AND(ISNUMBER(AC28),ISNUMBER(AF28),ABS(N(AC28)-N(AF28))&gt;0.01),"Wochenstd. weichen vom Modell ab; ","")&amp;IF(AND(AI28="Ja",OR(AJ28="",AK28="")),"Kontogrenzen fehlen; ","")&amp;IF(AND(AL28="Mit Gehalt abgegolten (Pauschale)",AM28=""),"Überstunden-Pauschale fehlt; ",""))="","OK",IF(OR(B28="",C28="",F28="",N28="",Q28="",AB28="",AC28="",AD28="",AU28=""),"Pflichtfelder fehlen; ","")&amp;IF(AND(ISNUMBER(AC28),AC28&gt;P_MaxWoche),"Wochenstunden &gt; Prüfgrenze; ","")&amp;IF(AND(BF28="Ja",ISNUMBER(AC28),AC28&gt;P_MaxWocheJugend),"Jugendlicher &gt; 40 h/Woche; ","")&amp;IF(AND(ISNUMBER(BD28),BD28&lt;P_Mindestlohn,Q28&lt;&gt;"Auszubildende/r",Q28&lt;&gt;"Praktikant/in"),"Mindestlohn unterschritten?; ","")&amp;IF(AND(Q28="Minijob (geringfügig)",ISNUMBER(BB28),BB28&gt;P_Minijob),"Minijob-Grenze überschritten; ","")&amp;IF(AND(R28="Ja",S28=""),"Befristung ohne Enddatum; ","")&amp;IF(AND(ISNUMBER(O28),ISNUMBER(N28),O28&lt;N28),"Austritt vor Eintritt; ","")&amp;IF(AND(ISNUMBER(AU28),ISNUMBER(AV28),AU28&lt;AV28),"Urlaub unter gesetzl. Minimum; ","")&amp;IF(AND(ISNUMBER(AC28),ISNUMBER(AF28),ABS(N(AC28)-N(AF28))&gt;0.01),"Wochenstd. weichen vom Modell ab; ","")&amp;IF(AND(AI28="Ja",OR(AJ28="",AK28="")),"Kontogrenzen fehlen; ","")&amp;IF(AND(AL28="Mit Gehalt abgegolten (Pauschale)",AM28=""),"Überstunden-Pauschale fehlt; ","")))</f>
        <v/>
      </c>
      <c r="BH28" s="38"/>
    </row>
    <row r="29" customFormat="false" ht="15" hidden="false" customHeight="false" outlineLevel="0" collapsed="false">
      <c r="A29" s="37"/>
      <c r="B29" s="38"/>
      <c r="C29" s="38"/>
      <c r="D29" s="38"/>
      <c r="E29" s="38"/>
      <c r="F29" s="39"/>
      <c r="G29" s="38"/>
      <c r="H29" s="38"/>
      <c r="I29" s="37"/>
      <c r="J29" s="38"/>
      <c r="K29" s="38"/>
      <c r="L29" s="38"/>
      <c r="M29" s="38"/>
      <c r="N29" s="39"/>
      <c r="O29" s="39"/>
      <c r="P29" s="38"/>
      <c r="Q29" s="38"/>
      <c r="R29" s="38"/>
      <c r="S29" s="39"/>
      <c r="T29" s="39"/>
      <c r="U29" s="38"/>
      <c r="V29" s="38"/>
      <c r="W29" s="37"/>
      <c r="X29" s="38"/>
      <c r="Y29" s="38"/>
      <c r="Z29" s="37"/>
      <c r="AA29" s="38"/>
      <c r="AB29" s="38"/>
      <c r="AC29" s="40"/>
      <c r="AD29" s="41"/>
      <c r="AE29" s="42" t="str">
        <f aca="false">IF(OR(A29="",NOT(ISNUMBER(AC29)),NOT(ISNUMBER(AD29))),"",IF(AD29&gt;0,AC29/AD29,""))</f>
        <v/>
      </c>
      <c r="AF29" s="42" t="str">
        <f aca="false">IF(OR(A29="",AB29=""),"",IFERROR(INDEX(Arbeitszeitmodelle!$C$5:$C$34,MATCH(AB29,Arbeitszeitmodelle!$A$5:$A$34,0)),""))</f>
        <v/>
      </c>
      <c r="AG29" s="38"/>
      <c r="AH29" s="38"/>
      <c r="AI29" s="38"/>
      <c r="AJ29" s="41"/>
      <c r="AK29" s="41"/>
      <c r="AL29" s="38"/>
      <c r="AM29" s="41"/>
      <c r="AN29" s="38"/>
      <c r="AO29" s="38"/>
      <c r="AP29" s="38"/>
      <c r="AQ29" s="38"/>
      <c r="AR29" s="41"/>
      <c r="AS29" s="40"/>
      <c r="AT29" s="39"/>
      <c r="AU29" s="41"/>
      <c r="AV29" s="43" t="str">
        <f aca="false">IF(OR(A29="",NOT(ISNUMBER(AD29))),"",P_MinUrlaubWerktage/6*AD29)</f>
        <v/>
      </c>
      <c r="AW29" s="43" t="str">
        <f aca="false">IF(A29="","",IF(M29="Ja",P_ZusatzSB*IF(ISNUMBER(AD29),AD29,5)/5,0))</f>
        <v/>
      </c>
      <c r="AX29" s="41"/>
      <c r="AY29" s="39"/>
      <c r="AZ29" s="43" t="str">
        <f aca="false">IF(OR(A29="",NOT(ISNUMBER(AU29))),"",SUM(AU29,AW29,AX29))</f>
        <v/>
      </c>
      <c r="BA29" s="38"/>
      <c r="BB29" s="44"/>
      <c r="BC29" s="44"/>
      <c r="BD29" s="45" t="str">
        <f aca="false">IF(A29="","",IF(BA29="Stundenlohn",IF(ISNUMBER(BC29),BC29,""),IF(AND(ISNUMBER(BB29),ISNUMBER(AC29)),IF(AC29&gt;0,BB29*12/(AC29*52),""),"")))</f>
        <v/>
      </c>
      <c r="BE29" s="46" t="str">
        <f aca="false">IF(OR(A29="",NOT(ISNUMBER(F29))),"",IFERROR(DATEDIF(F29,P_Stichtag,"Y"),""))</f>
        <v/>
      </c>
      <c r="BF29" s="47" t="str">
        <f aca="false">IF(OR(A29="",NOT(ISNUMBER(BE29))),"",IF(BE29&lt;18,"Ja","Nein"))</f>
        <v/>
      </c>
      <c r="BG29" s="48" t="str">
        <f aca="false">IF(A29="","",IF((IF(OR(B29="",C29="",F29="",N29="",Q29="",AB29="",AC29="",AD29="",AU29=""),"Pflichtfelder fehlen; ","")&amp;IF(AND(ISNUMBER(AC29),AC29&gt;P_MaxWoche),"Wochenstunden &gt; Prüfgrenze; ","")&amp;IF(AND(BF29="Ja",ISNUMBER(AC29),AC29&gt;P_MaxWocheJugend),"Jugendlicher &gt; 40 h/Woche; ","")&amp;IF(AND(ISNUMBER(BD29),BD29&lt;P_Mindestlohn,Q29&lt;&gt;"Auszubildende/r",Q29&lt;&gt;"Praktikant/in"),"Mindestlohn unterschritten?; ","")&amp;IF(AND(Q29="Minijob (geringfügig)",ISNUMBER(BB29),BB29&gt;P_Minijob),"Minijob-Grenze überschritten; ","")&amp;IF(AND(R29="Ja",S29=""),"Befristung ohne Enddatum; ","")&amp;IF(AND(ISNUMBER(O29),ISNUMBER(N29),O29&lt;N29),"Austritt vor Eintritt; ","")&amp;IF(AND(ISNUMBER(AU29),ISNUMBER(AV29),AU29&lt;AV29),"Urlaub unter gesetzl. Minimum; ","")&amp;IF(AND(ISNUMBER(AC29),ISNUMBER(AF29),ABS(N(AC29)-N(AF29))&gt;0.01),"Wochenstd. weichen vom Modell ab; ","")&amp;IF(AND(AI29="Ja",OR(AJ29="",AK29="")),"Kontogrenzen fehlen; ","")&amp;IF(AND(AL29="Mit Gehalt abgegolten (Pauschale)",AM29=""),"Überstunden-Pauschale fehlt; ",""))="","OK",IF(OR(B29="",C29="",F29="",N29="",Q29="",AB29="",AC29="",AD29="",AU29=""),"Pflichtfelder fehlen; ","")&amp;IF(AND(ISNUMBER(AC29),AC29&gt;P_MaxWoche),"Wochenstunden &gt; Prüfgrenze; ","")&amp;IF(AND(BF29="Ja",ISNUMBER(AC29),AC29&gt;P_MaxWocheJugend),"Jugendlicher &gt; 40 h/Woche; ","")&amp;IF(AND(ISNUMBER(BD29),BD29&lt;P_Mindestlohn,Q29&lt;&gt;"Auszubildende/r",Q29&lt;&gt;"Praktikant/in"),"Mindestlohn unterschritten?; ","")&amp;IF(AND(Q29="Minijob (geringfügig)",ISNUMBER(BB29),BB29&gt;P_Minijob),"Minijob-Grenze überschritten; ","")&amp;IF(AND(R29="Ja",S29=""),"Befristung ohne Enddatum; ","")&amp;IF(AND(ISNUMBER(O29),ISNUMBER(N29),O29&lt;N29),"Austritt vor Eintritt; ","")&amp;IF(AND(ISNUMBER(AU29),ISNUMBER(AV29),AU29&lt;AV29),"Urlaub unter gesetzl. Minimum; ","")&amp;IF(AND(ISNUMBER(AC29),ISNUMBER(AF29),ABS(N(AC29)-N(AF29))&gt;0.01),"Wochenstd. weichen vom Modell ab; ","")&amp;IF(AND(AI29="Ja",OR(AJ29="",AK29="")),"Kontogrenzen fehlen; ","")&amp;IF(AND(AL29="Mit Gehalt abgegolten (Pauschale)",AM29=""),"Überstunden-Pauschale fehlt; ","")))</f>
        <v/>
      </c>
      <c r="BH29" s="38"/>
    </row>
    <row r="30" customFormat="false" ht="15" hidden="false" customHeight="false" outlineLevel="0" collapsed="false">
      <c r="A30" s="37"/>
      <c r="B30" s="38"/>
      <c r="C30" s="38"/>
      <c r="D30" s="38"/>
      <c r="E30" s="38"/>
      <c r="F30" s="39"/>
      <c r="G30" s="38"/>
      <c r="H30" s="38"/>
      <c r="I30" s="37"/>
      <c r="J30" s="38"/>
      <c r="K30" s="38"/>
      <c r="L30" s="38"/>
      <c r="M30" s="38"/>
      <c r="N30" s="39"/>
      <c r="O30" s="39"/>
      <c r="P30" s="38"/>
      <c r="Q30" s="38"/>
      <c r="R30" s="38"/>
      <c r="S30" s="39"/>
      <c r="T30" s="39"/>
      <c r="U30" s="38"/>
      <c r="V30" s="38"/>
      <c r="W30" s="37"/>
      <c r="X30" s="38"/>
      <c r="Y30" s="38"/>
      <c r="Z30" s="37"/>
      <c r="AA30" s="38"/>
      <c r="AB30" s="38"/>
      <c r="AC30" s="40"/>
      <c r="AD30" s="41"/>
      <c r="AE30" s="42" t="str">
        <f aca="false">IF(OR(A30="",NOT(ISNUMBER(AC30)),NOT(ISNUMBER(AD30))),"",IF(AD30&gt;0,AC30/AD30,""))</f>
        <v/>
      </c>
      <c r="AF30" s="42" t="str">
        <f aca="false">IF(OR(A30="",AB30=""),"",IFERROR(INDEX(Arbeitszeitmodelle!$C$5:$C$34,MATCH(AB30,Arbeitszeitmodelle!$A$5:$A$34,0)),""))</f>
        <v/>
      </c>
      <c r="AG30" s="38"/>
      <c r="AH30" s="38"/>
      <c r="AI30" s="38"/>
      <c r="AJ30" s="41"/>
      <c r="AK30" s="41"/>
      <c r="AL30" s="38"/>
      <c r="AM30" s="41"/>
      <c r="AN30" s="38"/>
      <c r="AO30" s="38"/>
      <c r="AP30" s="38"/>
      <c r="AQ30" s="38"/>
      <c r="AR30" s="41"/>
      <c r="AS30" s="40"/>
      <c r="AT30" s="39"/>
      <c r="AU30" s="41"/>
      <c r="AV30" s="43" t="str">
        <f aca="false">IF(OR(A30="",NOT(ISNUMBER(AD30))),"",P_MinUrlaubWerktage/6*AD30)</f>
        <v/>
      </c>
      <c r="AW30" s="43" t="str">
        <f aca="false">IF(A30="","",IF(M30="Ja",P_ZusatzSB*IF(ISNUMBER(AD30),AD30,5)/5,0))</f>
        <v/>
      </c>
      <c r="AX30" s="41"/>
      <c r="AY30" s="39"/>
      <c r="AZ30" s="43" t="str">
        <f aca="false">IF(OR(A30="",NOT(ISNUMBER(AU30))),"",SUM(AU30,AW30,AX30))</f>
        <v/>
      </c>
      <c r="BA30" s="38"/>
      <c r="BB30" s="44"/>
      <c r="BC30" s="44"/>
      <c r="BD30" s="45" t="str">
        <f aca="false">IF(A30="","",IF(BA30="Stundenlohn",IF(ISNUMBER(BC30),BC30,""),IF(AND(ISNUMBER(BB30),ISNUMBER(AC30)),IF(AC30&gt;0,BB30*12/(AC30*52),""),"")))</f>
        <v/>
      </c>
      <c r="BE30" s="46" t="str">
        <f aca="false">IF(OR(A30="",NOT(ISNUMBER(F30))),"",IFERROR(DATEDIF(F30,P_Stichtag,"Y"),""))</f>
        <v/>
      </c>
      <c r="BF30" s="47" t="str">
        <f aca="false">IF(OR(A30="",NOT(ISNUMBER(BE30))),"",IF(BE30&lt;18,"Ja","Nein"))</f>
        <v/>
      </c>
      <c r="BG30" s="48" t="str">
        <f aca="false">IF(A30="","",IF((IF(OR(B30="",C30="",F30="",N30="",Q30="",AB30="",AC30="",AD30="",AU30=""),"Pflichtfelder fehlen; ","")&amp;IF(AND(ISNUMBER(AC30),AC30&gt;P_MaxWoche),"Wochenstunden &gt; Prüfgrenze; ","")&amp;IF(AND(BF30="Ja",ISNUMBER(AC30),AC30&gt;P_MaxWocheJugend),"Jugendlicher &gt; 40 h/Woche; ","")&amp;IF(AND(ISNUMBER(BD30),BD30&lt;P_Mindestlohn,Q30&lt;&gt;"Auszubildende/r",Q30&lt;&gt;"Praktikant/in"),"Mindestlohn unterschritten?; ","")&amp;IF(AND(Q30="Minijob (geringfügig)",ISNUMBER(BB30),BB30&gt;P_Minijob),"Minijob-Grenze überschritten; ","")&amp;IF(AND(R30="Ja",S30=""),"Befristung ohne Enddatum; ","")&amp;IF(AND(ISNUMBER(O30),ISNUMBER(N30),O30&lt;N30),"Austritt vor Eintritt; ","")&amp;IF(AND(ISNUMBER(AU30),ISNUMBER(AV30),AU30&lt;AV30),"Urlaub unter gesetzl. Minimum; ","")&amp;IF(AND(ISNUMBER(AC30),ISNUMBER(AF30),ABS(N(AC30)-N(AF30))&gt;0.01),"Wochenstd. weichen vom Modell ab; ","")&amp;IF(AND(AI30="Ja",OR(AJ30="",AK30="")),"Kontogrenzen fehlen; ","")&amp;IF(AND(AL30="Mit Gehalt abgegolten (Pauschale)",AM30=""),"Überstunden-Pauschale fehlt; ",""))="","OK",IF(OR(B30="",C30="",F30="",N30="",Q30="",AB30="",AC30="",AD30="",AU30=""),"Pflichtfelder fehlen; ","")&amp;IF(AND(ISNUMBER(AC30),AC30&gt;P_MaxWoche),"Wochenstunden &gt; Prüfgrenze; ","")&amp;IF(AND(BF30="Ja",ISNUMBER(AC30),AC30&gt;P_MaxWocheJugend),"Jugendlicher &gt; 40 h/Woche; ","")&amp;IF(AND(ISNUMBER(BD30),BD30&lt;P_Mindestlohn,Q30&lt;&gt;"Auszubildende/r",Q30&lt;&gt;"Praktikant/in"),"Mindestlohn unterschritten?; ","")&amp;IF(AND(Q30="Minijob (geringfügig)",ISNUMBER(BB30),BB30&gt;P_Minijob),"Minijob-Grenze überschritten; ","")&amp;IF(AND(R30="Ja",S30=""),"Befristung ohne Enddatum; ","")&amp;IF(AND(ISNUMBER(O30),ISNUMBER(N30),O30&lt;N30),"Austritt vor Eintritt; ","")&amp;IF(AND(ISNUMBER(AU30),ISNUMBER(AV30),AU30&lt;AV30),"Urlaub unter gesetzl. Minimum; ","")&amp;IF(AND(ISNUMBER(AC30),ISNUMBER(AF30),ABS(N(AC30)-N(AF30))&gt;0.01),"Wochenstd. weichen vom Modell ab; ","")&amp;IF(AND(AI30="Ja",OR(AJ30="",AK30="")),"Kontogrenzen fehlen; ","")&amp;IF(AND(AL30="Mit Gehalt abgegolten (Pauschale)",AM30=""),"Überstunden-Pauschale fehlt; ","")))</f>
        <v/>
      </c>
      <c r="BH30" s="38"/>
    </row>
    <row r="31" customFormat="false" ht="15" hidden="false" customHeight="false" outlineLevel="0" collapsed="false">
      <c r="A31" s="37"/>
      <c r="B31" s="38"/>
      <c r="C31" s="38"/>
      <c r="D31" s="38"/>
      <c r="E31" s="38"/>
      <c r="F31" s="39"/>
      <c r="G31" s="38"/>
      <c r="H31" s="38"/>
      <c r="I31" s="37"/>
      <c r="J31" s="38"/>
      <c r="K31" s="38"/>
      <c r="L31" s="38"/>
      <c r="M31" s="38"/>
      <c r="N31" s="39"/>
      <c r="O31" s="39"/>
      <c r="P31" s="38"/>
      <c r="Q31" s="38"/>
      <c r="R31" s="38"/>
      <c r="S31" s="39"/>
      <c r="T31" s="39"/>
      <c r="U31" s="38"/>
      <c r="V31" s="38"/>
      <c r="W31" s="37"/>
      <c r="X31" s="38"/>
      <c r="Y31" s="38"/>
      <c r="Z31" s="37"/>
      <c r="AA31" s="38"/>
      <c r="AB31" s="38"/>
      <c r="AC31" s="40"/>
      <c r="AD31" s="41"/>
      <c r="AE31" s="42" t="str">
        <f aca="false">IF(OR(A31="",NOT(ISNUMBER(AC31)),NOT(ISNUMBER(AD31))),"",IF(AD31&gt;0,AC31/AD31,""))</f>
        <v/>
      </c>
      <c r="AF31" s="42" t="str">
        <f aca="false">IF(OR(A31="",AB31=""),"",IFERROR(INDEX(Arbeitszeitmodelle!$C$5:$C$34,MATCH(AB31,Arbeitszeitmodelle!$A$5:$A$34,0)),""))</f>
        <v/>
      </c>
      <c r="AG31" s="38"/>
      <c r="AH31" s="38"/>
      <c r="AI31" s="38"/>
      <c r="AJ31" s="41"/>
      <c r="AK31" s="41"/>
      <c r="AL31" s="38"/>
      <c r="AM31" s="41"/>
      <c r="AN31" s="38"/>
      <c r="AO31" s="38"/>
      <c r="AP31" s="38"/>
      <c r="AQ31" s="38"/>
      <c r="AR31" s="41"/>
      <c r="AS31" s="40"/>
      <c r="AT31" s="39"/>
      <c r="AU31" s="41"/>
      <c r="AV31" s="43" t="str">
        <f aca="false">IF(OR(A31="",NOT(ISNUMBER(AD31))),"",P_MinUrlaubWerktage/6*AD31)</f>
        <v/>
      </c>
      <c r="AW31" s="43" t="str">
        <f aca="false">IF(A31="","",IF(M31="Ja",P_ZusatzSB*IF(ISNUMBER(AD31),AD31,5)/5,0))</f>
        <v/>
      </c>
      <c r="AX31" s="41"/>
      <c r="AY31" s="39"/>
      <c r="AZ31" s="43" t="str">
        <f aca="false">IF(OR(A31="",NOT(ISNUMBER(AU31))),"",SUM(AU31,AW31,AX31))</f>
        <v/>
      </c>
      <c r="BA31" s="38"/>
      <c r="BB31" s="44"/>
      <c r="BC31" s="44"/>
      <c r="BD31" s="45" t="str">
        <f aca="false">IF(A31="","",IF(BA31="Stundenlohn",IF(ISNUMBER(BC31),BC31,""),IF(AND(ISNUMBER(BB31),ISNUMBER(AC31)),IF(AC31&gt;0,BB31*12/(AC31*52),""),"")))</f>
        <v/>
      </c>
      <c r="BE31" s="46" t="str">
        <f aca="false">IF(OR(A31="",NOT(ISNUMBER(F31))),"",IFERROR(DATEDIF(F31,P_Stichtag,"Y"),""))</f>
        <v/>
      </c>
      <c r="BF31" s="47" t="str">
        <f aca="false">IF(OR(A31="",NOT(ISNUMBER(BE31))),"",IF(BE31&lt;18,"Ja","Nein"))</f>
        <v/>
      </c>
      <c r="BG31" s="48" t="str">
        <f aca="false">IF(A31="","",IF((IF(OR(B31="",C31="",F31="",N31="",Q31="",AB31="",AC31="",AD31="",AU31=""),"Pflichtfelder fehlen; ","")&amp;IF(AND(ISNUMBER(AC31),AC31&gt;P_MaxWoche),"Wochenstunden &gt; Prüfgrenze; ","")&amp;IF(AND(BF31="Ja",ISNUMBER(AC31),AC31&gt;P_MaxWocheJugend),"Jugendlicher &gt; 40 h/Woche; ","")&amp;IF(AND(ISNUMBER(BD31),BD31&lt;P_Mindestlohn,Q31&lt;&gt;"Auszubildende/r",Q31&lt;&gt;"Praktikant/in"),"Mindestlohn unterschritten?; ","")&amp;IF(AND(Q31="Minijob (geringfügig)",ISNUMBER(BB31),BB31&gt;P_Minijob),"Minijob-Grenze überschritten; ","")&amp;IF(AND(R31="Ja",S31=""),"Befristung ohne Enddatum; ","")&amp;IF(AND(ISNUMBER(O31),ISNUMBER(N31),O31&lt;N31),"Austritt vor Eintritt; ","")&amp;IF(AND(ISNUMBER(AU31),ISNUMBER(AV31),AU31&lt;AV31),"Urlaub unter gesetzl. Minimum; ","")&amp;IF(AND(ISNUMBER(AC31),ISNUMBER(AF31),ABS(N(AC31)-N(AF31))&gt;0.01),"Wochenstd. weichen vom Modell ab; ","")&amp;IF(AND(AI31="Ja",OR(AJ31="",AK31="")),"Kontogrenzen fehlen; ","")&amp;IF(AND(AL31="Mit Gehalt abgegolten (Pauschale)",AM31=""),"Überstunden-Pauschale fehlt; ",""))="","OK",IF(OR(B31="",C31="",F31="",N31="",Q31="",AB31="",AC31="",AD31="",AU31=""),"Pflichtfelder fehlen; ","")&amp;IF(AND(ISNUMBER(AC31),AC31&gt;P_MaxWoche),"Wochenstunden &gt; Prüfgrenze; ","")&amp;IF(AND(BF31="Ja",ISNUMBER(AC31),AC31&gt;P_MaxWocheJugend),"Jugendlicher &gt; 40 h/Woche; ","")&amp;IF(AND(ISNUMBER(BD31),BD31&lt;P_Mindestlohn,Q31&lt;&gt;"Auszubildende/r",Q31&lt;&gt;"Praktikant/in"),"Mindestlohn unterschritten?; ","")&amp;IF(AND(Q31="Minijob (geringfügig)",ISNUMBER(BB31),BB31&gt;P_Minijob),"Minijob-Grenze überschritten; ","")&amp;IF(AND(R31="Ja",S31=""),"Befristung ohne Enddatum; ","")&amp;IF(AND(ISNUMBER(O31),ISNUMBER(N31),O31&lt;N31),"Austritt vor Eintritt; ","")&amp;IF(AND(ISNUMBER(AU31),ISNUMBER(AV31),AU31&lt;AV31),"Urlaub unter gesetzl. Minimum; ","")&amp;IF(AND(ISNUMBER(AC31),ISNUMBER(AF31),ABS(N(AC31)-N(AF31))&gt;0.01),"Wochenstd. weichen vom Modell ab; ","")&amp;IF(AND(AI31="Ja",OR(AJ31="",AK31="")),"Kontogrenzen fehlen; ","")&amp;IF(AND(AL31="Mit Gehalt abgegolten (Pauschale)",AM31=""),"Überstunden-Pauschale fehlt; ","")))</f>
        <v/>
      </c>
      <c r="BH31" s="38"/>
    </row>
    <row r="32" customFormat="false" ht="15" hidden="false" customHeight="false" outlineLevel="0" collapsed="false">
      <c r="A32" s="37"/>
      <c r="B32" s="38"/>
      <c r="C32" s="38"/>
      <c r="D32" s="38"/>
      <c r="E32" s="38"/>
      <c r="F32" s="39"/>
      <c r="G32" s="38"/>
      <c r="H32" s="38"/>
      <c r="I32" s="37"/>
      <c r="J32" s="38"/>
      <c r="K32" s="38"/>
      <c r="L32" s="38"/>
      <c r="M32" s="38"/>
      <c r="N32" s="39"/>
      <c r="O32" s="39"/>
      <c r="P32" s="38"/>
      <c r="Q32" s="38"/>
      <c r="R32" s="38"/>
      <c r="S32" s="39"/>
      <c r="T32" s="39"/>
      <c r="U32" s="38"/>
      <c r="V32" s="38"/>
      <c r="W32" s="37"/>
      <c r="X32" s="38"/>
      <c r="Y32" s="38"/>
      <c r="Z32" s="37"/>
      <c r="AA32" s="38"/>
      <c r="AB32" s="38"/>
      <c r="AC32" s="40"/>
      <c r="AD32" s="41"/>
      <c r="AE32" s="42" t="str">
        <f aca="false">IF(OR(A32="",NOT(ISNUMBER(AC32)),NOT(ISNUMBER(AD32))),"",IF(AD32&gt;0,AC32/AD32,""))</f>
        <v/>
      </c>
      <c r="AF32" s="42" t="str">
        <f aca="false">IF(OR(A32="",AB32=""),"",IFERROR(INDEX(Arbeitszeitmodelle!$C$5:$C$34,MATCH(AB32,Arbeitszeitmodelle!$A$5:$A$34,0)),""))</f>
        <v/>
      </c>
      <c r="AG32" s="38"/>
      <c r="AH32" s="38"/>
      <c r="AI32" s="38"/>
      <c r="AJ32" s="41"/>
      <c r="AK32" s="41"/>
      <c r="AL32" s="38"/>
      <c r="AM32" s="41"/>
      <c r="AN32" s="38"/>
      <c r="AO32" s="38"/>
      <c r="AP32" s="38"/>
      <c r="AQ32" s="38"/>
      <c r="AR32" s="41"/>
      <c r="AS32" s="40"/>
      <c r="AT32" s="39"/>
      <c r="AU32" s="41"/>
      <c r="AV32" s="43" t="str">
        <f aca="false">IF(OR(A32="",NOT(ISNUMBER(AD32))),"",P_MinUrlaubWerktage/6*AD32)</f>
        <v/>
      </c>
      <c r="AW32" s="43" t="str">
        <f aca="false">IF(A32="","",IF(M32="Ja",P_ZusatzSB*IF(ISNUMBER(AD32),AD32,5)/5,0))</f>
        <v/>
      </c>
      <c r="AX32" s="41"/>
      <c r="AY32" s="39"/>
      <c r="AZ32" s="43" t="str">
        <f aca="false">IF(OR(A32="",NOT(ISNUMBER(AU32))),"",SUM(AU32,AW32,AX32))</f>
        <v/>
      </c>
      <c r="BA32" s="38"/>
      <c r="BB32" s="44"/>
      <c r="BC32" s="44"/>
      <c r="BD32" s="45" t="str">
        <f aca="false">IF(A32="","",IF(BA32="Stundenlohn",IF(ISNUMBER(BC32),BC32,""),IF(AND(ISNUMBER(BB32),ISNUMBER(AC32)),IF(AC32&gt;0,BB32*12/(AC32*52),""),"")))</f>
        <v/>
      </c>
      <c r="BE32" s="46" t="str">
        <f aca="false">IF(OR(A32="",NOT(ISNUMBER(F32))),"",IFERROR(DATEDIF(F32,P_Stichtag,"Y"),""))</f>
        <v/>
      </c>
      <c r="BF32" s="47" t="str">
        <f aca="false">IF(OR(A32="",NOT(ISNUMBER(BE32))),"",IF(BE32&lt;18,"Ja","Nein"))</f>
        <v/>
      </c>
      <c r="BG32" s="48" t="str">
        <f aca="false">IF(A32="","",IF((IF(OR(B32="",C32="",F32="",N32="",Q32="",AB32="",AC32="",AD32="",AU32=""),"Pflichtfelder fehlen; ","")&amp;IF(AND(ISNUMBER(AC32),AC32&gt;P_MaxWoche),"Wochenstunden &gt; Prüfgrenze; ","")&amp;IF(AND(BF32="Ja",ISNUMBER(AC32),AC32&gt;P_MaxWocheJugend),"Jugendlicher &gt; 40 h/Woche; ","")&amp;IF(AND(ISNUMBER(BD32),BD32&lt;P_Mindestlohn,Q32&lt;&gt;"Auszubildende/r",Q32&lt;&gt;"Praktikant/in"),"Mindestlohn unterschritten?; ","")&amp;IF(AND(Q32="Minijob (geringfügig)",ISNUMBER(BB32),BB32&gt;P_Minijob),"Minijob-Grenze überschritten; ","")&amp;IF(AND(R32="Ja",S32=""),"Befristung ohne Enddatum; ","")&amp;IF(AND(ISNUMBER(O32),ISNUMBER(N32),O32&lt;N32),"Austritt vor Eintritt; ","")&amp;IF(AND(ISNUMBER(AU32),ISNUMBER(AV32),AU32&lt;AV32),"Urlaub unter gesetzl. Minimum; ","")&amp;IF(AND(ISNUMBER(AC32),ISNUMBER(AF32),ABS(N(AC32)-N(AF32))&gt;0.01),"Wochenstd. weichen vom Modell ab; ","")&amp;IF(AND(AI32="Ja",OR(AJ32="",AK32="")),"Kontogrenzen fehlen; ","")&amp;IF(AND(AL32="Mit Gehalt abgegolten (Pauschale)",AM32=""),"Überstunden-Pauschale fehlt; ",""))="","OK",IF(OR(B32="",C32="",F32="",N32="",Q32="",AB32="",AC32="",AD32="",AU32=""),"Pflichtfelder fehlen; ","")&amp;IF(AND(ISNUMBER(AC32),AC32&gt;P_MaxWoche),"Wochenstunden &gt; Prüfgrenze; ","")&amp;IF(AND(BF32="Ja",ISNUMBER(AC32),AC32&gt;P_MaxWocheJugend),"Jugendlicher &gt; 40 h/Woche; ","")&amp;IF(AND(ISNUMBER(BD32),BD32&lt;P_Mindestlohn,Q32&lt;&gt;"Auszubildende/r",Q32&lt;&gt;"Praktikant/in"),"Mindestlohn unterschritten?; ","")&amp;IF(AND(Q32="Minijob (geringfügig)",ISNUMBER(BB32),BB32&gt;P_Minijob),"Minijob-Grenze überschritten; ","")&amp;IF(AND(R32="Ja",S32=""),"Befristung ohne Enddatum; ","")&amp;IF(AND(ISNUMBER(O32),ISNUMBER(N32),O32&lt;N32),"Austritt vor Eintritt; ","")&amp;IF(AND(ISNUMBER(AU32),ISNUMBER(AV32),AU32&lt;AV32),"Urlaub unter gesetzl. Minimum; ","")&amp;IF(AND(ISNUMBER(AC32),ISNUMBER(AF32),ABS(N(AC32)-N(AF32))&gt;0.01),"Wochenstd. weichen vom Modell ab; ","")&amp;IF(AND(AI32="Ja",OR(AJ32="",AK32="")),"Kontogrenzen fehlen; ","")&amp;IF(AND(AL32="Mit Gehalt abgegolten (Pauschale)",AM32=""),"Überstunden-Pauschale fehlt; ","")))</f>
        <v/>
      </c>
      <c r="BH32" s="38"/>
    </row>
    <row r="33" customFormat="false" ht="15" hidden="false" customHeight="false" outlineLevel="0" collapsed="false">
      <c r="A33" s="37"/>
      <c r="B33" s="38"/>
      <c r="C33" s="38"/>
      <c r="D33" s="38"/>
      <c r="E33" s="38"/>
      <c r="F33" s="39"/>
      <c r="G33" s="38"/>
      <c r="H33" s="38"/>
      <c r="I33" s="37"/>
      <c r="J33" s="38"/>
      <c r="K33" s="38"/>
      <c r="L33" s="38"/>
      <c r="M33" s="38"/>
      <c r="N33" s="39"/>
      <c r="O33" s="39"/>
      <c r="P33" s="38"/>
      <c r="Q33" s="38"/>
      <c r="R33" s="38"/>
      <c r="S33" s="39"/>
      <c r="T33" s="39"/>
      <c r="U33" s="38"/>
      <c r="V33" s="38"/>
      <c r="W33" s="37"/>
      <c r="X33" s="38"/>
      <c r="Y33" s="38"/>
      <c r="Z33" s="37"/>
      <c r="AA33" s="38"/>
      <c r="AB33" s="38"/>
      <c r="AC33" s="40"/>
      <c r="AD33" s="41"/>
      <c r="AE33" s="42" t="str">
        <f aca="false">IF(OR(A33="",NOT(ISNUMBER(AC33)),NOT(ISNUMBER(AD33))),"",IF(AD33&gt;0,AC33/AD33,""))</f>
        <v/>
      </c>
      <c r="AF33" s="42" t="str">
        <f aca="false">IF(OR(A33="",AB33=""),"",IFERROR(INDEX(Arbeitszeitmodelle!$C$5:$C$34,MATCH(AB33,Arbeitszeitmodelle!$A$5:$A$34,0)),""))</f>
        <v/>
      </c>
      <c r="AG33" s="38"/>
      <c r="AH33" s="38"/>
      <c r="AI33" s="38"/>
      <c r="AJ33" s="41"/>
      <c r="AK33" s="41"/>
      <c r="AL33" s="38"/>
      <c r="AM33" s="41"/>
      <c r="AN33" s="38"/>
      <c r="AO33" s="38"/>
      <c r="AP33" s="38"/>
      <c r="AQ33" s="38"/>
      <c r="AR33" s="41"/>
      <c r="AS33" s="40"/>
      <c r="AT33" s="39"/>
      <c r="AU33" s="41"/>
      <c r="AV33" s="43" t="str">
        <f aca="false">IF(OR(A33="",NOT(ISNUMBER(AD33))),"",P_MinUrlaubWerktage/6*AD33)</f>
        <v/>
      </c>
      <c r="AW33" s="43" t="str">
        <f aca="false">IF(A33="","",IF(M33="Ja",P_ZusatzSB*IF(ISNUMBER(AD33),AD33,5)/5,0))</f>
        <v/>
      </c>
      <c r="AX33" s="41"/>
      <c r="AY33" s="39"/>
      <c r="AZ33" s="43" t="str">
        <f aca="false">IF(OR(A33="",NOT(ISNUMBER(AU33))),"",SUM(AU33,AW33,AX33))</f>
        <v/>
      </c>
      <c r="BA33" s="38"/>
      <c r="BB33" s="44"/>
      <c r="BC33" s="44"/>
      <c r="BD33" s="45" t="str">
        <f aca="false">IF(A33="","",IF(BA33="Stundenlohn",IF(ISNUMBER(BC33),BC33,""),IF(AND(ISNUMBER(BB33),ISNUMBER(AC33)),IF(AC33&gt;0,BB33*12/(AC33*52),""),"")))</f>
        <v/>
      </c>
      <c r="BE33" s="46" t="str">
        <f aca="false">IF(OR(A33="",NOT(ISNUMBER(F33))),"",IFERROR(DATEDIF(F33,P_Stichtag,"Y"),""))</f>
        <v/>
      </c>
      <c r="BF33" s="47" t="str">
        <f aca="false">IF(OR(A33="",NOT(ISNUMBER(BE33))),"",IF(BE33&lt;18,"Ja","Nein"))</f>
        <v/>
      </c>
      <c r="BG33" s="48" t="str">
        <f aca="false">IF(A33="","",IF((IF(OR(B33="",C33="",F33="",N33="",Q33="",AB33="",AC33="",AD33="",AU33=""),"Pflichtfelder fehlen; ","")&amp;IF(AND(ISNUMBER(AC33),AC33&gt;P_MaxWoche),"Wochenstunden &gt; Prüfgrenze; ","")&amp;IF(AND(BF33="Ja",ISNUMBER(AC33),AC33&gt;P_MaxWocheJugend),"Jugendlicher &gt; 40 h/Woche; ","")&amp;IF(AND(ISNUMBER(BD33),BD33&lt;P_Mindestlohn,Q33&lt;&gt;"Auszubildende/r",Q33&lt;&gt;"Praktikant/in"),"Mindestlohn unterschritten?; ","")&amp;IF(AND(Q33="Minijob (geringfügig)",ISNUMBER(BB33),BB33&gt;P_Minijob),"Minijob-Grenze überschritten; ","")&amp;IF(AND(R33="Ja",S33=""),"Befristung ohne Enddatum; ","")&amp;IF(AND(ISNUMBER(O33),ISNUMBER(N33),O33&lt;N33),"Austritt vor Eintritt; ","")&amp;IF(AND(ISNUMBER(AU33),ISNUMBER(AV33),AU33&lt;AV33),"Urlaub unter gesetzl. Minimum; ","")&amp;IF(AND(ISNUMBER(AC33),ISNUMBER(AF33),ABS(N(AC33)-N(AF33))&gt;0.01),"Wochenstd. weichen vom Modell ab; ","")&amp;IF(AND(AI33="Ja",OR(AJ33="",AK33="")),"Kontogrenzen fehlen; ","")&amp;IF(AND(AL33="Mit Gehalt abgegolten (Pauschale)",AM33=""),"Überstunden-Pauschale fehlt; ",""))="","OK",IF(OR(B33="",C33="",F33="",N33="",Q33="",AB33="",AC33="",AD33="",AU33=""),"Pflichtfelder fehlen; ","")&amp;IF(AND(ISNUMBER(AC33),AC33&gt;P_MaxWoche),"Wochenstunden &gt; Prüfgrenze; ","")&amp;IF(AND(BF33="Ja",ISNUMBER(AC33),AC33&gt;P_MaxWocheJugend),"Jugendlicher &gt; 40 h/Woche; ","")&amp;IF(AND(ISNUMBER(BD33),BD33&lt;P_Mindestlohn,Q33&lt;&gt;"Auszubildende/r",Q33&lt;&gt;"Praktikant/in"),"Mindestlohn unterschritten?; ","")&amp;IF(AND(Q33="Minijob (geringfügig)",ISNUMBER(BB33),BB33&gt;P_Minijob),"Minijob-Grenze überschritten; ","")&amp;IF(AND(R33="Ja",S33=""),"Befristung ohne Enddatum; ","")&amp;IF(AND(ISNUMBER(O33),ISNUMBER(N33),O33&lt;N33),"Austritt vor Eintritt; ","")&amp;IF(AND(ISNUMBER(AU33),ISNUMBER(AV33),AU33&lt;AV33),"Urlaub unter gesetzl. Minimum; ","")&amp;IF(AND(ISNUMBER(AC33),ISNUMBER(AF33),ABS(N(AC33)-N(AF33))&gt;0.01),"Wochenstd. weichen vom Modell ab; ","")&amp;IF(AND(AI33="Ja",OR(AJ33="",AK33="")),"Kontogrenzen fehlen; ","")&amp;IF(AND(AL33="Mit Gehalt abgegolten (Pauschale)",AM33=""),"Überstunden-Pauschale fehlt; ","")))</f>
        <v/>
      </c>
      <c r="BH33" s="38"/>
    </row>
    <row r="34" customFormat="false" ht="15" hidden="false" customHeight="false" outlineLevel="0" collapsed="false">
      <c r="A34" s="37"/>
      <c r="B34" s="38"/>
      <c r="C34" s="38"/>
      <c r="D34" s="38"/>
      <c r="E34" s="38"/>
      <c r="F34" s="39"/>
      <c r="G34" s="38"/>
      <c r="H34" s="38"/>
      <c r="I34" s="37"/>
      <c r="J34" s="38"/>
      <c r="K34" s="38"/>
      <c r="L34" s="38"/>
      <c r="M34" s="38"/>
      <c r="N34" s="39"/>
      <c r="O34" s="39"/>
      <c r="P34" s="38"/>
      <c r="Q34" s="38"/>
      <c r="R34" s="38"/>
      <c r="S34" s="39"/>
      <c r="T34" s="39"/>
      <c r="U34" s="38"/>
      <c r="V34" s="38"/>
      <c r="W34" s="37"/>
      <c r="X34" s="38"/>
      <c r="Y34" s="38"/>
      <c r="Z34" s="37"/>
      <c r="AA34" s="38"/>
      <c r="AB34" s="38"/>
      <c r="AC34" s="40"/>
      <c r="AD34" s="41"/>
      <c r="AE34" s="42" t="str">
        <f aca="false">IF(OR(A34="",NOT(ISNUMBER(AC34)),NOT(ISNUMBER(AD34))),"",IF(AD34&gt;0,AC34/AD34,""))</f>
        <v/>
      </c>
      <c r="AF34" s="42" t="str">
        <f aca="false">IF(OR(A34="",AB34=""),"",IFERROR(INDEX(Arbeitszeitmodelle!$C$5:$C$34,MATCH(AB34,Arbeitszeitmodelle!$A$5:$A$34,0)),""))</f>
        <v/>
      </c>
      <c r="AG34" s="38"/>
      <c r="AH34" s="38"/>
      <c r="AI34" s="38"/>
      <c r="AJ34" s="41"/>
      <c r="AK34" s="41"/>
      <c r="AL34" s="38"/>
      <c r="AM34" s="41"/>
      <c r="AN34" s="38"/>
      <c r="AO34" s="38"/>
      <c r="AP34" s="38"/>
      <c r="AQ34" s="38"/>
      <c r="AR34" s="41"/>
      <c r="AS34" s="40"/>
      <c r="AT34" s="39"/>
      <c r="AU34" s="41"/>
      <c r="AV34" s="43" t="str">
        <f aca="false">IF(OR(A34="",NOT(ISNUMBER(AD34))),"",P_MinUrlaubWerktage/6*AD34)</f>
        <v/>
      </c>
      <c r="AW34" s="43" t="str">
        <f aca="false">IF(A34="","",IF(M34="Ja",P_ZusatzSB*IF(ISNUMBER(AD34),AD34,5)/5,0))</f>
        <v/>
      </c>
      <c r="AX34" s="41"/>
      <c r="AY34" s="39"/>
      <c r="AZ34" s="43" t="str">
        <f aca="false">IF(OR(A34="",NOT(ISNUMBER(AU34))),"",SUM(AU34,AW34,AX34))</f>
        <v/>
      </c>
      <c r="BA34" s="38"/>
      <c r="BB34" s="44"/>
      <c r="BC34" s="44"/>
      <c r="BD34" s="45" t="str">
        <f aca="false">IF(A34="","",IF(BA34="Stundenlohn",IF(ISNUMBER(BC34),BC34,""),IF(AND(ISNUMBER(BB34),ISNUMBER(AC34)),IF(AC34&gt;0,BB34*12/(AC34*52),""),"")))</f>
        <v/>
      </c>
      <c r="BE34" s="46" t="str">
        <f aca="false">IF(OR(A34="",NOT(ISNUMBER(F34))),"",IFERROR(DATEDIF(F34,P_Stichtag,"Y"),""))</f>
        <v/>
      </c>
      <c r="BF34" s="47" t="str">
        <f aca="false">IF(OR(A34="",NOT(ISNUMBER(BE34))),"",IF(BE34&lt;18,"Ja","Nein"))</f>
        <v/>
      </c>
      <c r="BG34" s="48" t="str">
        <f aca="false">IF(A34="","",IF((IF(OR(B34="",C34="",F34="",N34="",Q34="",AB34="",AC34="",AD34="",AU34=""),"Pflichtfelder fehlen; ","")&amp;IF(AND(ISNUMBER(AC34),AC34&gt;P_MaxWoche),"Wochenstunden &gt; Prüfgrenze; ","")&amp;IF(AND(BF34="Ja",ISNUMBER(AC34),AC34&gt;P_MaxWocheJugend),"Jugendlicher &gt; 40 h/Woche; ","")&amp;IF(AND(ISNUMBER(BD34),BD34&lt;P_Mindestlohn,Q34&lt;&gt;"Auszubildende/r",Q34&lt;&gt;"Praktikant/in"),"Mindestlohn unterschritten?; ","")&amp;IF(AND(Q34="Minijob (geringfügig)",ISNUMBER(BB34),BB34&gt;P_Minijob),"Minijob-Grenze überschritten; ","")&amp;IF(AND(R34="Ja",S34=""),"Befristung ohne Enddatum; ","")&amp;IF(AND(ISNUMBER(O34),ISNUMBER(N34),O34&lt;N34),"Austritt vor Eintritt; ","")&amp;IF(AND(ISNUMBER(AU34),ISNUMBER(AV34),AU34&lt;AV34),"Urlaub unter gesetzl. Minimum; ","")&amp;IF(AND(ISNUMBER(AC34),ISNUMBER(AF34),ABS(N(AC34)-N(AF34))&gt;0.01),"Wochenstd. weichen vom Modell ab; ","")&amp;IF(AND(AI34="Ja",OR(AJ34="",AK34="")),"Kontogrenzen fehlen; ","")&amp;IF(AND(AL34="Mit Gehalt abgegolten (Pauschale)",AM34=""),"Überstunden-Pauschale fehlt; ",""))="","OK",IF(OR(B34="",C34="",F34="",N34="",Q34="",AB34="",AC34="",AD34="",AU34=""),"Pflichtfelder fehlen; ","")&amp;IF(AND(ISNUMBER(AC34),AC34&gt;P_MaxWoche),"Wochenstunden &gt; Prüfgrenze; ","")&amp;IF(AND(BF34="Ja",ISNUMBER(AC34),AC34&gt;P_MaxWocheJugend),"Jugendlicher &gt; 40 h/Woche; ","")&amp;IF(AND(ISNUMBER(BD34),BD34&lt;P_Mindestlohn,Q34&lt;&gt;"Auszubildende/r",Q34&lt;&gt;"Praktikant/in"),"Mindestlohn unterschritten?; ","")&amp;IF(AND(Q34="Minijob (geringfügig)",ISNUMBER(BB34),BB34&gt;P_Minijob),"Minijob-Grenze überschritten; ","")&amp;IF(AND(R34="Ja",S34=""),"Befristung ohne Enddatum; ","")&amp;IF(AND(ISNUMBER(O34),ISNUMBER(N34),O34&lt;N34),"Austritt vor Eintritt; ","")&amp;IF(AND(ISNUMBER(AU34),ISNUMBER(AV34),AU34&lt;AV34),"Urlaub unter gesetzl. Minimum; ","")&amp;IF(AND(ISNUMBER(AC34),ISNUMBER(AF34),ABS(N(AC34)-N(AF34))&gt;0.01),"Wochenstd. weichen vom Modell ab; ","")&amp;IF(AND(AI34="Ja",OR(AJ34="",AK34="")),"Kontogrenzen fehlen; ","")&amp;IF(AND(AL34="Mit Gehalt abgegolten (Pauschale)",AM34=""),"Überstunden-Pauschale fehlt; ","")))</f>
        <v/>
      </c>
      <c r="BH34" s="38"/>
    </row>
    <row r="35" customFormat="false" ht="15" hidden="false" customHeight="false" outlineLevel="0" collapsed="false">
      <c r="A35" s="37"/>
      <c r="B35" s="38"/>
      <c r="C35" s="38"/>
      <c r="D35" s="38"/>
      <c r="E35" s="38"/>
      <c r="F35" s="39"/>
      <c r="G35" s="38"/>
      <c r="H35" s="38"/>
      <c r="I35" s="37"/>
      <c r="J35" s="38"/>
      <c r="K35" s="38"/>
      <c r="L35" s="38"/>
      <c r="M35" s="38"/>
      <c r="N35" s="39"/>
      <c r="O35" s="39"/>
      <c r="P35" s="38"/>
      <c r="Q35" s="38"/>
      <c r="R35" s="38"/>
      <c r="S35" s="39"/>
      <c r="T35" s="39"/>
      <c r="U35" s="38"/>
      <c r="V35" s="38"/>
      <c r="W35" s="37"/>
      <c r="X35" s="38"/>
      <c r="Y35" s="38"/>
      <c r="Z35" s="37"/>
      <c r="AA35" s="38"/>
      <c r="AB35" s="38"/>
      <c r="AC35" s="40"/>
      <c r="AD35" s="41"/>
      <c r="AE35" s="42" t="str">
        <f aca="false">IF(OR(A35="",NOT(ISNUMBER(AC35)),NOT(ISNUMBER(AD35))),"",IF(AD35&gt;0,AC35/AD35,""))</f>
        <v/>
      </c>
      <c r="AF35" s="42" t="str">
        <f aca="false">IF(OR(A35="",AB35=""),"",IFERROR(INDEX(Arbeitszeitmodelle!$C$5:$C$34,MATCH(AB35,Arbeitszeitmodelle!$A$5:$A$34,0)),""))</f>
        <v/>
      </c>
      <c r="AG35" s="38"/>
      <c r="AH35" s="38"/>
      <c r="AI35" s="38"/>
      <c r="AJ35" s="41"/>
      <c r="AK35" s="41"/>
      <c r="AL35" s="38"/>
      <c r="AM35" s="41"/>
      <c r="AN35" s="38"/>
      <c r="AO35" s="38"/>
      <c r="AP35" s="38"/>
      <c r="AQ35" s="38"/>
      <c r="AR35" s="41"/>
      <c r="AS35" s="40"/>
      <c r="AT35" s="39"/>
      <c r="AU35" s="41"/>
      <c r="AV35" s="43" t="str">
        <f aca="false">IF(OR(A35="",NOT(ISNUMBER(AD35))),"",P_MinUrlaubWerktage/6*AD35)</f>
        <v/>
      </c>
      <c r="AW35" s="43" t="str">
        <f aca="false">IF(A35="","",IF(M35="Ja",P_ZusatzSB*IF(ISNUMBER(AD35),AD35,5)/5,0))</f>
        <v/>
      </c>
      <c r="AX35" s="41"/>
      <c r="AY35" s="39"/>
      <c r="AZ35" s="43" t="str">
        <f aca="false">IF(OR(A35="",NOT(ISNUMBER(AU35))),"",SUM(AU35,AW35,AX35))</f>
        <v/>
      </c>
      <c r="BA35" s="38"/>
      <c r="BB35" s="44"/>
      <c r="BC35" s="44"/>
      <c r="BD35" s="45" t="str">
        <f aca="false">IF(A35="","",IF(BA35="Stundenlohn",IF(ISNUMBER(BC35),BC35,""),IF(AND(ISNUMBER(BB35),ISNUMBER(AC35)),IF(AC35&gt;0,BB35*12/(AC35*52),""),"")))</f>
        <v/>
      </c>
      <c r="BE35" s="46" t="str">
        <f aca="false">IF(OR(A35="",NOT(ISNUMBER(F35))),"",IFERROR(DATEDIF(F35,P_Stichtag,"Y"),""))</f>
        <v/>
      </c>
      <c r="BF35" s="47" t="str">
        <f aca="false">IF(OR(A35="",NOT(ISNUMBER(BE35))),"",IF(BE35&lt;18,"Ja","Nein"))</f>
        <v/>
      </c>
      <c r="BG35" s="48" t="str">
        <f aca="false">IF(A35="","",IF((IF(OR(B35="",C35="",F35="",N35="",Q35="",AB35="",AC35="",AD35="",AU35=""),"Pflichtfelder fehlen; ","")&amp;IF(AND(ISNUMBER(AC35),AC35&gt;P_MaxWoche),"Wochenstunden &gt; Prüfgrenze; ","")&amp;IF(AND(BF35="Ja",ISNUMBER(AC35),AC35&gt;P_MaxWocheJugend),"Jugendlicher &gt; 40 h/Woche; ","")&amp;IF(AND(ISNUMBER(BD35),BD35&lt;P_Mindestlohn,Q35&lt;&gt;"Auszubildende/r",Q35&lt;&gt;"Praktikant/in"),"Mindestlohn unterschritten?; ","")&amp;IF(AND(Q35="Minijob (geringfügig)",ISNUMBER(BB35),BB35&gt;P_Minijob),"Minijob-Grenze überschritten; ","")&amp;IF(AND(R35="Ja",S35=""),"Befristung ohne Enddatum; ","")&amp;IF(AND(ISNUMBER(O35),ISNUMBER(N35),O35&lt;N35),"Austritt vor Eintritt; ","")&amp;IF(AND(ISNUMBER(AU35),ISNUMBER(AV35),AU35&lt;AV35),"Urlaub unter gesetzl. Minimum; ","")&amp;IF(AND(ISNUMBER(AC35),ISNUMBER(AF35),ABS(N(AC35)-N(AF35))&gt;0.01),"Wochenstd. weichen vom Modell ab; ","")&amp;IF(AND(AI35="Ja",OR(AJ35="",AK35="")),"Kontogrenzen fehlen; ","")&amp;IF(AND(AL35="Mit Gehalt abgegolten (Pauschale)",AM35=""),"Überstunden-Pauschale fehlt; ",""))="","OK",IF(OR(B35="",C35="",F35="",N35="",Q35="",AB35="",AC35="",AD35="",AU35=""),"Pflichtfelder fehlen; ","")&amp;IF(AND(ISNUMBER(AC35),AC35&gt;P_MaxWoche),"Wochenstunden &gt; Prüfgrenze; ","")&amp;IF(AND(BF35="Ja",ISNUMBER(AC35),AC35&gt;P_MaxWocheJugend),"Jugendlicher &gt; 40 h/Woche; ","")&amp;IF(AND(ISNUMBER(BD35),BD35&lt;P_Mindestlohn,Q35&lt;&gt;"Auszubildende/r",Q35&lt;&gt;"Praktikant/in"),"Mindestlohn unterschritten?; ","")&amp;IF(AND(Q35="Minijob (geringfügig)",ISNUMBER(BB35),BB35&gt;P_Minijob),"Minijob-Grenze überschritten; ","")&amp;IF(AND(R35="Ja",S35=""),"Befristung ohne Enddatum; ","")&amp;IF(AND(ISNUMBER(O35),ISNUMBER(N35),O35&lt;N35),"Austritt vor Eintritt; ","")&amp;IF(AND(ISNUMBER(AU35),ISNUMBER(AV35),AU35&lt;AV35),"Urlaub unter gesetzl. Minimum; ","")&amp;IF(AND(ISNUMBER(AC35),ISNUMBER(AF35),ABS(N(AC35)-N(AF35))&gt;0.01),"Wochenstd. weichen vom Modell ab; ","")&amp;IF(AND(AI35="Ja",OR(AJ35="",AK35="")),"Kontogrenzen fehlen; ","")&amp;IF(AND(AL35="Mit Gehalt abgegolten (Pauschale)",AM35=""),"Überstunden-Pauschale fehlt; ","")))</f>
        <v/>
      </c>
      <c r="BH35" s="38"/>
    </row>
    <row r="36" customFormat="false" ht="15" hidden="false" customHeight="false" outlineLevel="0" collapsed="false">
      <c r="A36" s="37"/>
      <c r="B36" s="38"/>
      <c r="C36" s="38"/>
      <c r="D36" s="38"/>
      <c r="E36" s="38"/>
      <c r="F36" s="39"/>
      <c r="G36" s="38"/>
      <c r="H36" s="38"/>
      <c r="I36" s="37"/>
      <c r="J36" s="38"/>
      <c r="K36" s="38"/>
      <c r="L36" s="38"/>
      <c r="M36" s="38"/>
      <c r="N36" s="39"/>
      <c r="O36" s="39"/>
      <c r="P36" s="38"/>
      <c r="Q36" s="38"/>
      <c r="R36" s="38"/>
      <c r="S36" s="39"/>
      <c r="T36" s="39"/>
      <c r="U36" s="38"/>
      <c r="V36" s="38"/>
      <c r="W36" s="37"/>
      <c r="X36" s="38"/>
      <c r="Y36" s="38"/>
      <c r="Z36" s="37"/>
      <c r="AA36" s="38"/>
      <c r="AB36" s="38"/>
      <c r="AC36" s="40"/>
      <c r="AD36" s="41"/>
      <c r="AE36" s="42" t="str">
        <f aca="false">IF(OR(A36="",NOT(ISNUMBER(AC36)),NOT(ISNUMBER(AD36))),"",IF(AD36&gt;0,AC36/AD36,""))</f>
        <v/>
      </c>
      <c r="AF36" s="42" t="str">
        <f aca="false">IF(OR(A36="",AB36=""),"",IFERROR(INDEX(Arbeitszeitmodelle!$C$5:$C$34,MATCH(AB36,Arbeitszeitmodelle!$A$5:$A$34,0)),""))</f>
        <v/>
      </c>
      <c r="AG36" s="38"/>
      <c r="AH36" s="38"/>
      <c r="AI36" s="38"/>
      <c r="AJ36" s="41"/>
      <c r="AK36" s="41"/>
      <c r="AL36" s="38"/>
      <c r="AM36" s="41"/>
      <c r="AN36" s="38"/>
      <c r="AO36" s="38"/>
      <c r="AP36" s="38"/>
      <c r="AQ36" s="38"/>
      <c r="AR36" s="41"/>
      <c r="AS36" s="40"/>
      <c r="AT36" s="39"/>
      <c r="AU36" s="41"/>
      <c r="AV36" s="43" t="str">
        <f aca="false">IF(OR(A36="",NOT(ISNUMBER(AD36))),"",P_MinUrlaubWerktage/6*AD36)</f>
        <v/>
      </c>
      <c r="AW36" s="43" t="str">
        <f aca="false">IF(A36="","",IF(M36="Ja",P_ZusatzSB*IF(ISNUMBER(AD36),AD36,5)/5,0))</f>
        <v/>
      </c>
      <c r="AX36" s="41"/>
      <c r="AY36" s="39"/>
      <c r="AZ36" s="43" t="str">
        <f aca="false">IF(OR(A36="",NOT(ISNUMBER(AU36))),"",SUM(AU36,AW36,AX36))</f>
        <v/>
      </c>
      <c r="BA36" s="38"/>
      <c r="BB36" s="44"/>
      <c r="BC36" s="44"/>
      <c r="BD36" s="45" t="str">
        <f aca="false">IF(A36="","",IF(BA36="Stundenlohn",IF(ISNUMBER(BC36),BC36,""),IF(AND(ISNUMBER(BB36),ISNUMBER(AC36)),IF(AC36&gt;0,BB36*12/(AC36*52),""),"")))</f>
        <v/>
      </c>
      <c r="BE36" s="46" t="str">
        <f aca="false">IF(OR(A36="",NOT(ISNUMBER(F36))),"",IFERROR(DATEDIF(F36,P_Stichtag,"Y"),""))</f>
        <v/>
      </c>
      <c r="BF36" s="47" t="str">
        <f aca="false">IF(OR(A36="",NOT(ISNUMBER(BE36))),"",IF(BE36&lt;18,"Ja","Nein"))</f>
        <v/>
      </c>
      <c r="BG36" s="48" t="str">
        <f aca="false">IF(A36="","",IF((IF(OR(B36="",C36="",F36="",N36="",Q36="",AB36="",AC36="",AD36="",AU36=""),"Pflichtfelder fehlen; ","")&amp;IF(AND(ISNUMBER(AC36),AC36&gt;P_MaxWoche),"Wochenstunden &gt; Prüfgrenze; ","")&amp;IF(AND(BF36="Ja",ISNUMBER(AC36),AC36&gt;P_MaxWocheJugend),"Jugendlicher &gt; 40 h/Woche; ","")&amp;IF(AND(ISNUMBER(BD36),BD36&lt;P_Mindestlohn,Q36&lt;&gt;"Auszubildende/r",Q36&lt;&gt;"Praktikant/in"),"Mindestlohn unterschritten?; ","")&amp;IF(AND(Q36="Minijob (geringfügig)",ISNUMBER(BB36),BB36&gt;P_Minijob),"Minijob-Grenze überschritten; ","")&amp;IF(AND(R36="Ja",S36=""),"Befristung ohne Enddatum; ","")&amp;IF(AND(ISNUMBER(O36),ISNUMBER(N36),O36&lt;N36),"Austritt vor Eintritt; ","")&amp;IF(AND(ISNUMBER(AU36),ISNUMBER(AV36),AU36&lt;AV36),"Urlaub unter gesetzl. Minimum; ","")&amp;IF(AND(ISNUMBER(AC36),ISNUMBER(AF36),ABS(N(AC36)-N(AF36))&gt;0.01),"Wochenstd. weichen vom Modell ab; ","")&amp;IF(AND(AI36="Ja",OR(AJ36="",AK36="")),"Kontogrenzen fehlen; ","")&amp;IF(AND(AL36="Mit Gehalt abgegolten (Pauschale)",AM36=""),"Überstunden-Pauschale fehlt; ",""))="","OK",IF(OR(B36="",C36="",F36="",N36="",Q36="",AB36="",AC36="",AD36="",AU36=""),"Pflichtfelder fehlen; ","")&amp;IF(AND(ISNUMBER(AC36),AC36&gt;P_MaxWoche),"Wochenstunden &gt; Prüfgrenze; ","")&amp;IF(AND(BF36="Ja",ISNUMBER(AC36),AC36&gt;P_MaxWocheJugend),"Jugendlicher &gt; 40 h/Woche; ","")&amp;IF(AND(ISNUMBER(BD36),BD36&lt;P_Mindestlohn,Q36&lt;&gt;"Auszubildende/r",Q36&lt;&gt;"Praktikant/in"),"Mindestlohn unterschritten?; ","")&amp;IF(AND(Q36="Minijob (geringfügig)",ISNUMBER(BB36),BB36&gt;P_Minijob),"Minijob-Grenze überschritten; ","")&amp;IF(AND(R36="Ja",S36=""),"Befristung ohne Enddatum; ","")&amp;IF(AND(ISNUMBER(O36),ISNUMBER(N36),O36&lt;N36),"Austritt vor Eintritt; ","")&amp;IF(AND(ISNUMBER(AU36),ISNUMBER(AV36),AU36&lt;AV36),"Urlaub unter gesetzl. Minimum; ","")&amp;IF(AND(ISNUMBER(AC36),ISNUMBER(AF36),ABS(N(AC36)-N(AF36))&gt;0.01),"Wochenstd. weichen vom Modell ab; ","")&amp;IF(AND(AI36="Ja",OR(AJ36="",AK36="")),"Kontogrenzen fehlen; ","")&amp;IF(AND(AL36="Mit Gehalt abgegolten (Pauschale)",AM36=""),"Überstunden-Pauschale fehlt; ","")))</f>
        <v/>
      </c>
      <c r="BH36" s="38"/>
    </row>
    <row r="37" customFormat="false" ht="15" hidden="false" customHeight="false" outlineLevel="0" collapsed="false">
      <c r="A37" s="37"/>
      <c r="B37" s="38"/>
      <c r="C37" s="38"/>
      <c r="D37" s="38"/>
      <c r="E37" s="38"/>
      <c r="F37" s="39"/>
      <c r="G37" s="38"/>
      <c r="H37" s="38"/>
      <c r="I37" s="37"/>
      <c r="J37" s="38"/>
      <c r="K37" s="38"/>
      <c r="L37" s="38"/>
      <c r="M37" s="38"/>
      <c r="N37" s="39"/>
      <c r="O37" s="39"/>
      <c r="P37" s="38"/>
      <c r="Q37" s="38"/>
      <c r="R37" s="38"/>
      <c r="S37" s="39"/>
      <c r="T37" s="39"/>
      <c r="U37" s="38"/>
      <c r="V37" s="38"/>
      <c r="W37" s="37"/>
      <c r="X37" s="38"/>
      <c r="Y37" s="38"/>
      <c r="Z37" s="37"/>
      <c r="AA37" s="38"/>
      <c r="AB37" s="38"/>
      <c r="AC37" s="40"/>
      <c r="AD37" s="41"/>
      <c r="AE37" s="42" t="str">
        <f aca="false">IF(OR(A37="",NOT(ISNUMBER(AC37)),NOT(ISNUMBER(AD37))),"",IF(AD37&gt;0,AC37/AD37,""))</f>
        <v/>
      </c>
      <c r="AF37" s="42" t="str">
        <f aca="false">IF(OR(A37="",AB37=""),"",IFERROR(INDEX(Arbeitszeitmodelle!$C$5:$C$34,MATCH(AB37,Arbeitszeitmodelle!$A$5:$A$34,0)),""))</f>
        <v/>
      </c>
      <c r="AG37" s="38"/>
      <c r="AH37" s="38"/>
      <c r="AI37" s="38"/>
      <c r="AJ37" s="41"/>
      <c r="AK37" s="41"/>
      <c r="AL37" s="38"/>
      <c r="AM37" s="41"/>
      <c r="AN37" s="38"/>
      <c r="AO37" s="38"/>
      <c r="AP37" s="38"/>
      <c r="AQ37" s="38"/>
      <c r="AR37" s="41"/>
      <c r="AS37" s="40"/>
      <c r="AT37" s="39"/>
      <c r="AU37" s="41"/>
      <c r="AV37" s="43" t="str">
        <f aca="false">IF(OR(A37="",NOT(ISNUMBER(AD37))),"",P_MinUrlaubWerktage/6*AD37)</f>
        <v/>
      </c>
      <c r="AW37" s="43" t="str">
        <f aca="false">IF(A37="","",IF(M37="Ja",P_ZusatzSB*IF(ISNUMBER(AD37),AD37,5)/5,0))</f>
        <v/>
      </c>
      <c r="AX37" s="41"/>
      <c r="AY37" s="39"/>
      <c r="AZ37" s="43" t="str">
        <f aca="false">IF(OR(A37="",NOT(ISNUMBER(AU37))),"",SUM(AU37,AW37,AX37))</f>
        <v/>
      </c>
      <c r="BA37" s="38"/>
      <c r="BB37" s="44"/>
      <c r="BC37" s="44"/>
      <c r="BD37" s="45" t="str">
        <f aca="false">IF(A37="","",IF(BA37="Stundenlohn",IF(ISNUMBER(BC37),BC37,""),IF(AND(ISNUMBER(BB37),ISNUMBER(AC37)),IF(AC37&gt;0,BB37*12/(AC37*52),""),"")))</f>
        <v/>
      </c>
      <c r="BE37" s="46" t="str">
        <f aca="false">IF(OR(A37="",NOT(ISNUMBER(F37))),"",IFERROR(DATEDIF(F37,P_Stichtag,"Y"),""))</f>
        <v/>
      </c>
      <c r="BF37" s="47" t="str">
        <f aca="false">IF(OR(A37="",NOT(ISNUMBER(BE37))),"",IF(BE37&lt;18,"Ja","Nein"))</f>
        <v/>
      </c>
      <c r="BG37" s="48" t="str">
        <f aca="false">IF(A37="","",IF((IF(OR(B37="",C37="",F37="",N37="",Q37="",AB37="",AC37="",AD37="",AU37=""),"Pflichtfelder fehlen; ","")&amp;IF(AND(ISNUMBER(AC37),AC37&gt;P_MaxWoche),"Wochenstunden &gt; Prüfgrenze; ","")&amp;IF(AND(BF37="Ja",ISNUMBER(AC37),AC37&gt;P_MaxWocheJugend),"Jugendlicher &gt; 40 h/Woche; ","")&amp;IF(AND(ISNUMBER(BD37),BD37&lt;P_Mindestlohn,Q37&lt;&gt;"Auszubildende/r",Q37&lt;&gt;"Praktikant/in"),"Mindestlohn unterschritten?; ","")&amp;IF(AND(Q37="Minijob (geringfügig)",ISNUMBER(BB37),BB37&gt;P_Minijob),"Minijob-Grenze überschritten; ","")&amp;IF(AND(R37="Ja",S37=""),"Befristung ohne Enddatum; ","")&amp;IF(AND(ISNUMBER(O37),ISNUMBER(N37),O37&lt;N37),"Austritt vor Eintritt; ","")&amp;IF(AND(ISNUMBER(AU37),ISNUMBER(AV37),AU37&lt;AV37),"Urlaub unter gesetzl. Minimum; ","")&amp;IF(AND(ISNUMBER(AC37),ISNUMBER(AF37),ABS(N(AC37)-N(AF37))&gt;0.01),"Wochenstd. weichen vom Modell ab; ","")&amp;IF(AND(AI37="Ja",OR(AJ37="",AK37="")),"Kontogrenzen fehlen; ","")&amp;IF(AND(AL37="Mit Gehalt abgegolten (Pauschale)",AM37=""),"Überstunden-Pauschale fehlt; ",""))="","OK",IF(OR(B37="",C37="",F37="",N37="",Q37="",AB37="",AC37="",AD37="",AU37=""),"Pflichtfelder fehlen; ","")&amp;IF(AND(ISNUMBER(AC37),AC37&gt;P_MaxWoche),"Wochenstunden &gt; Prüfgrenze; ","")&amp;IF(AND(BF37="Ja",ISNUMBER(AC37),AC37&gt;P_MaxWocheJugend),"Jugendlicher &gt; 40 h/Woche; ","")&amp;IF(AND(ISNUMBER(BD37),BD37&lt;P_Mindestlohn,Q37&lt;&gt;"Auszubildende/r",Q37&lt;&gt;"Praktikant/in"),"Mindestlohn unterschritten?; ","")&amp;IF(AND(Q37="Minijob (geringfügig)",ISNUMBER(BB37),BB37&gt;P_Minijob),"Minijob-Grenze überschritten; ","")&amp;IF(AND(R37="Ja",S37=""),"Befristung ohne Enddatum; ","")&amp;IF(AND(ISNUMBER(O37),ISNUMBER(N37),O37&lt;N37),"Austritt vor Eintritt; ","")&amp;IF(AND(ISNUMBER(AU37),ISNUMBER(AV37),AU37&lt;AV37),"Urlaub unter gesetzl. Minimum; ","")&amp;IF(AND(ISNUMBER(AC37),ISNUMBER(AF37),ABS(N(AC37)-N(AF37))&gt;0.01),"Wochenstd. weichen vom Modell ab; ","")&amp;IF(AND(AI37="Ja",OR(AJ37="",AK37="")),"Kontogrenzen fehlen; ","")&amp;IF(AND(AL37="Mit Gehalt abgegolten (Pauschale)",AM37=""),"Überstunden-Pauschale fehlt; ","")))</f>
        <v/>
      </c>
      <c r="BH37" s="38"/>
    </row>
    <row r="38" customFormat="false" ht="15" hidden="false" customHeight="false" outlineLevel="0" collapsed="false">
      <c r="A38" s="37"/>
      <c r="B38" s="38"/>
      <c r="C38" s="38"/>
      <c r="D38" s="38"/>
      <c r="E38" s="38"/>
      <c r="F38" s="39"/>
      <c r="G38" s="38"/>
      <c r="H38" s="38"/>
      <c r="I38" s="37"/>
      <c r="J38" s="38"/>
      <c r="K38" s="38"/>
      <c r="L38" s="38"/>
      <c r="M38" s="38"/>
      <c r="N38" s="39"/>
      <c r="O38" s="39"/>
      <c r="P38" s="38"/>
      <c r="Q38" s="38"/>
      <c r="R38" s="38"/>
      <c r="S38" s="39"/>
      <c r="T38" s="39"/>
      <c r="U38" s="38"/>
      <c r="V38" s="38"/>
      <c r="W38" s="37"/>
      <c r="X38" s="38"/>
      <c r="Y38" s="38"/>
      <c r="Z38" s="37"/>
      <c r="AA38" s="38"/>
      <c r="AB38" s="38"/>
      <c r="AC38" s="40"/>
      <c r="AD38" s="41"/>
      <c r="AE38" s="42" t="str">
        <f aca="false">IF(OR(A38="",NOT(ISNUMBER(AC38)),NOT(ISNUMBER(AD38))),"",IF(AD38&gt;0,AC38/AD38,""))</f>
        <v/>
      </c>
      <c r="AF38" s="42" t="str">
        <f aca="false">IF(OR(A38="",AB38=""),"",IFERROR(INDEX(Arbeitszeitmodelle!$C$5:$C$34,MATCH(AB38,Arbeitszeitmodelle!$A$5:$A$34,0)),""))</f>
        <v/>
      </c>
      <c r="AG38" s="38"/>
      <c r="AH38" s="38"/>
      <c r="AI38" s="38"/>
      <c r="AJ38" s="41"/>
      <c r="AK38" s="41"/>
      <c r="AL38" s="38"/>
      <c r="AM38" s="41"/>
      <c r="AN38" s="38"/>
      <c r="AO38" s="38"/>
      <c r="AP38" s="38"/>
      <c r="AQ38" s="38"/>
      <c r="AR38" s="41"/>
      <c r="AS38" s="40"/>
      <c r="AT38" s="39"/>
      <c r="AU38" s="41"/>
      <c r="AV38" s="43" t="str">
        <f aca="false">IF(OR(A38="",NOT(ISNUMBER(AD38))),"",P_MinUrlaubWerktage/6*AD38)</f>
        <v/>
      </c>
      <c r="AW38" s="43" t="str">
        <f aca="false">IF(A38="","",IF(M38="Ja",P_ZusatzSB*IF(ISNUMBER(AD38),AD38,5)/5,0))</f>
        <v/>
      </c>
      <c r="AX38" s="41"/>
      <c r="AY38" s="39"/>
      <c r="AZ38" s="43" t="str">
        <f aca="false">IF(OR(A38="",NOT(ISNUMBER(AU38))),"",SUM(AU38,AW38,AX38))</f>
        <v/>
      </c>
      <c r="BA38" s="38"/>
      <c r="BB38" s="44"/>
      <c r="BC38" s="44"/>
      <c r="BD38" s="45" t="str">
        <f aca="false">IF(A38="","",IF(BA38="Stundenlohn",IF(ISNUMBER(BC38),BC38,""),IF(AND(ISNUMBER(BB38),ISNUMBER(AC38)),IF(AC38&gt;0,BB38*12/(AC38*52),""),"")))</f>
        <v/>
      </c>
      <c r="BE38" s="46" t="str">
        <f aca="false">IF(OR(A38="",NOT(ISNUMBER(F38))),"",IFERROR(DATEDIF(F38,P_Stichtag,"Y"),""))</f>
        <v/>
      </c>
      <c r="BF38" s="47" t="str">
        <f aca="false">IF(OR(A38="",NOT(ISNUMBER(BE38))),"",IF(BE38&lt;18,"Ja","Nein"))</f>
        <v/>
      </c>
      <c r="BG38" s="48" t="str">
        <f aca="false">IF(A38="","",IF((IF(OR(B38="",C38="",F38="",N38="",Q38="",AB38="",AC38="",AD38="",AU38=""),"Pflichtfelder fehlen; ","")&amp;IF(AND(ISNUMBER(AC38),AC38&gt;P_MaxWoche),"Wochenstunden &gt; Prüfgrenze; ","")&amp;IF(AND(BF38="Ja",ISNUMBER(AC38),AC38&gt;P_MaxWocheJugend),"Jugendlicher &gt; 40 h/Woche; ","")&amp;IF(AND(ISNUMBER(BD38),BD38&lt;P_Mindestlohn,Q38&lt;&gt;"Auszubildende/r",Q38&lt;&gt;"Praktikant/in"),"Mindestlohn unterschritten?; ","")&amp;IF(AND(Q38="Minijob (geringfügig)",ISNUMBER(BB38),BB38&gt;P_Minijob),"Minijob-Grenze überschritten; ","")&amp;IF(AND(R38="Ja",S38=""),"Befristung ohne Enddatum; ","")&amp;IF(AND(ISNUMBER(O38),ISNUMBER(N38),O38&lt;N38),"Austritt vor Eintritt; ","")&amp;IF(AND(ISNUMBER(AU38),ISNUMBER(AV38),AU38&lt;AV38),"Urlaub unter gesetzl. Minimum; ","")&amp;IF(AND(ISNUMBER(AC38),ISNUMBER(AF38),ABS(N(AC38)-N(AF38))&gt;0.01),"Wochenstd. weichen vom Modell ab; ","")&amp;IF(AND(AI38="Ja",OR(AJ38="",AK38="")),"Kontogrenzen fehlen; ","")&amp;IF(AND(AL38="Mit Gehalt abgegolten (Pauschale)",AM38=""),"Überstunden-Pauschale fehlt; ",""))="","OK",IF(OR(B38="",C38="",F38="",N38="",Q38="",AB38="",AC38="",AD38="",AU38=""),"Pflichtfelder fehlen; ","")&amp;IF(AND(ISNUMBER(AC38),AC38&gt;P_MaxWoche),"Wochenstunden &gt; Prüfgrenze; ","")&amp;IF(AND(BF38="Ja",ISNUMBER(AC38),AC38&gt;P_MaxWocheJugend),"Jugendlicher &gt; 40 h/Woche; ","")&amp;IF(AND(ISNUMBER(BD38),BD38&lt;P_Mindestlohn,Q38&lt;&gt;"Auszubildende/r",Q38&lt;&gt;"Praktikant/in"),"Mindestlohn unterschritten?; ","")&amp;IF(AND(Q38="Minijob (geringfügig)",ISNUMBER(BB38),BB38&gt;P_Minijob),"Minijob-Grenze überschritten; ","")&amp;IF(AND(R38="Ja",S38=""),"Befristung ohne Enddatum; ","")&amp;IF(AND(ISNUMBER(O38),ISNUMBER(N38),O38&lt;N38),"Austritt vor Eintritt; ","")&amp;IF(AND(ISNUMBER(AU38),ISNUMBER(AV38),AU38&lt;AV38),"Urlaub unter gesetzl. Minimum; ","")&amp;IF(AND(ISNUMBER(AC38),ISNUMBER(AF38),ABS(N(AC38)-N(AF38))&gt;0.01),"Wochenstd. weichen vom Modell ab; ","")&amp;IF(AND(AI38="Ja",OR(AJ38="",AK38="")),"Kontogrenzen fehlen; ","")&amp;IF(AND(AL38="Mit Gehalt abgegolten (Pauschale)",AM38=""),"Überstunden-Pauschale fehlt; ","")))</f>
        <v/>
      </c>
      <c r="BH38" s="38"/>
    </row>
    <row r="39" customFormat="false" ht="15" hidden="false" customHeight="false" outlineLevel="0" collapsed="false">
      <c r="A39" s="37"/>
      <c r="B39" s="38"/>
      <c r="C39" s="38"/>
      <c r="D39" s="38"/>
      <c r="E39" s="38"/>
      <c r="F39" s="39"/>
      <c r="G39" s="38"/>
      <c r="H39" s="38"/>
      <c r="I39" s="37"/>
      <c r="J39" s="38"/>
      <c r="K39" s="38"/>
      <c r="L39" s="38"/>
      <c r="M39" s="38"/>
      <c r="N39" s="39"/>
      <c r="O39" s="39"/>
      <c r="P39" s="38"/>
      <c r="Q39" s="38"/>
      <c r="R39" s="38"/>
      <c r="S39" s="39"/>
      <c r="T39" s="39"/>
      <c r="U39" s="38"/>
      <c r="V39" s="38"/>
      <c r="W39" s="37"/>
      <c r="X39" s="38"/>
      <c r="Y39" s="38"/>
      <c r="Z39" s="37"/>
      <c r="AA39" s="38"/>
      <c r="AB39" s="38"/>
      <c r="AC39" s="40"/>
      <c r="AD39" s="41"/>
      <c r="AE39" s="42" t="str">
        <f aca="false">IF(OR(A39="",NOT(ISNUMBER(AC39)),NOT(ISNUMBER(AD39))),"",IF(AD39&gt;0,AC39/AD39,""))</f>
        <v/>
      </c>
      <c r="AF39" s="42" t="str">
        <f aca="false">IF(OR(A39="",AB39=""),"",IFERROR(INDEX(Arbeitszeitmodelle!$C$5:$C$34,MATCH(AB39,Arbeitszeitmodelle!$A$5:$A$34,0)),""))</f>
        <v/>
      </c>
      <c r="AG39" s="38"/>
      <c r="AH39" s="38"/>
      <c r="AI39" s="38"/>
      <c r="AJ39" s="41"/>
      <c r="AK39" s="41"/>
      <c r="AL39" s="38"/>
      <c r="AM39" s="41"/>
      <c r="AN39" s="38"/>
      <c r="AO39" s="38"/>
      <c r="AP39" s="38"/>
      <c r="AQ39" s="38"/>
      <c r="AR39" s="41"/>
      <c r="AS39" s="40"/>
      <c r="AT39" s="39"/>
      <c r="AU39" s="41"/>
      <c r="AV39" s="43" t="str">
        <f aca="false">IF(OR(A39="",NOT(ISNUMBER(AD39))),"",P_MinUrlaubWerktage/6*AD39)</f>
        <v/>
      </c>
      <c r="AW39" s="43" t="str">
        <f aca="false">IF(A39="","",IF(M39="Ja",P_ZusatzSB*IF(ISNUMBER(AD39),AD39,5)/5,0))</f>
        <v/>
      </c>
      <c r="AX39" s="41"/>
      <c r="AY39" s="39"/>
      <c r="AZ39" s="43" t="str">
        <f aca="false">IF(OR(A39="",NOT(ISNUMBER(AU39))),"",SUM(AU39,AW39,AX39))</f>
        <v/>
      </c>
      <c r="BA39" s="38"/>
      <c r="BB39" s="44"/>
      <c r="BC39" s="44"/>
      <c r="BD39" s="45" t="str">
        <f aca="false">IF(A39="","",IF(BA39="Stundenlohn",IF(ISNUMBER(BC39),BC39,""),IF(AND(ISNUMBER(BB39),ISNUMBER(AC39)),IF(AC39&gt;0,BB39*12/(AC39*52),""),"")))</f>
        <v/>
      </c>
      <c r="BE39" s="46" t="str">
        <f aca="false">IF(OR(A39="",NOT(ISNUMBER(F39))),"",IFERROR(DATEDIF(F39,P_Stichtag,"Y"),""))</f>
        <v/>
      </c>
      <c r="BF39" s="47" t="str">
        <f aca="false">IF(OR(A39="",NOT(ISNUMBER(BE39))),"",IF(BE39&lt;18,"Ja","Nein"))</f>
        <v/>
      </c>
      <c r="BG39" s="48" t="str">
        <f aca="false">IF(A39="","",IF((IF(OR(B39="",C39="",F39="",N39="",Q39="",AB39="",AC39="",AD39="",AU39=""),"Pflichtfelder fehlen; ","")&amp;IF(AND(ISNUMBER(AC39),AC39&gt;P_MaxWoche),"Wochenstunden &gt; Prüfgrenze; ","")&amp;IF(AND(BF39="Ja",ISNUMBER(AC39),AC39&gt;P_MaxWocheJugend),"Jugendlicher &gt; 40 h/Woche; ","")&amp;IF(AND(ISNUMBER(BD39),BD39&lt;P_Mindestlohn,Q39&lt;&gt;"Auszubildende/r",Q39&lt;&gt;"Praktikant/in"),"Mindestlohn unterschritten?; ","")&amp;IF(AND(Q39="Minijob (geringfügig)",ISNUMBER(BB39),BB39&gt;P_Minijob),"Minijob-Grenze überschritten; ","")&amp;IF(AND(R39="Ja",S39=""),"Befristung ohne Enddatum; ","")&amp;IF(AND(ISNUMBER(O39),ISNUMBER(N39),O39&lt;N39),"Austritt vor Eintritt; ","")&amp;IF(AND(ISNUMBER(AU39),ISNUMBER(AV39),AU39&lt;AV39),"Urlaub unter gesetzl. Minimum; ","")&amp;IF(AND(ISNUMBER(AC39),ISNUMBER(AF39),ABS(N(AC39)-N(AF39))&gt;0.01),"Wochenstd. weichen vom Modell ab; ","")&amp;IF(AND(AI39="Ja",OR(AJ39="",AK39="")),"Kontogrenzen fehlen; ","")&amp;IF(AND(AL39="Mit Gehalt abgegolten (Pauschale)",AM39=""),"Überstunden-Pauschale fehlt; ",""))="","OK",IF(OR(B39="",C39="",F39="",N39="",Q39="",AB39="",AC39="",AD39="",AU39=""),"Pflichtfelder fehlen; ","")&amp;IF(AND(ISNUMBER(AC39),AC39&gt;P_MaxWoche),"Wochenstunden &gt; Prüfgrenze; ","")&amp;IF(AND(BF39="Ja",ISNUMBER(AC39),AC39&gt;P_MaxWocheJugend),"Jugendlicher &gt; 40 h/Woche; ","")&amp;IF(AND(ISNUMBER(BD39),BD39&lt;P_Mindestlohn,Q39&lt;&gt;"Auszubildende/r",Q39&lt;&gt;"Praktikant/in"),"Mindestlohn unterschritten?; ","")&amp;IF(AND(Q39="Minijob (geringfügig)",ISNUMBER(BB39),BB39&gt;P_Minijob),"Minijob-Grenze überschritten; ","")&amp;IF(AND(R39="Ja",S39=""),"Befristung ohne Enddatum; ","")&amp;IF(AND(ISNUMBER(O39),ISNUMBER(N39),O39&lt;N39),"Austritt vor Eintritt; ","")&amp;IF(AND(ISNUMBER(AU39),ISNUMBER(AV39),AU39&lt;AV39),"Urlaub unter gesetzl. Minimum; ","")&amp;IF(AND(ISNUMBER(AC39),ISNUMBER(AF39),ABS(N(AC39)-N(AF39))&gt;0.01),"Wochenstd. weichen vom Modell ab; ","")&amp;IF(AND(AI39="Ja",OR(AJ39="",AK39="")),"Kontogrenzen fehlen; ","")&amp;IF(AND(AL39="Mit Gehalt abgegolten (Pauschale)",AM39=""),"Überstunden-Pauschale fehlt; ","")))</f>
        <v/>
      </c>
      <c r="BH39" s="38"/>
    </row>
    <row r="40" customFormat="false" ht="15" hidden="false" customHeight="false" outlineLevel="0" collapsed="false">
      <c r="A40" s="37"/>
      <c r="B40" s="38"/>
      <c r="C40" s="38"/>
      <c r="D40" s="38"/>
      <c r="E40" s="38"/>
      <c r="F40" s="39"/>
      <c r="G40" s="38"/>
      <c r="H40" s="38"/>
      <c r="I40" s="37"/>
      <c r="J40" s="38"/>
      <c r="K40" s="38"/>
      <c r="L40" s="38"/>
      <c r="M40" s="38"/>
      <c r="N40" s="39"/>
      <c r="O40" s="39"/>
      <c r="P40" s="38"/>
      <c r="Q40" s="38"/>
      <c r="R40" s="38"/>
      <c r="S40" s="39"/>
      <c r="T40" s="39"/>
      <c r="U40" s="38"/>
      <c r="V40" s="38"/>
      <c r="W40" s="37"/>
      <c r="X40" s="38"/>
      <c r="Y40" s="38"/>
      <c r="Z40" s="37"/>
      <c r="AA40" s="38"/>
      <c r="AB40" s="38"/>
      <c r="AC40" s="40"/>
      <c r="AD40" s="41"/>
      <c r="AE40" s="42" t="str">
        <f aca="false">IF(OR(A40="",NOT(ISNUMBER(AC40)),NOT(ISNUMBER(AD40))),"",IF(AD40&gt;0,AC40/AD40,""))</f>
        <v/>
      </c>
      <c r="AF40" s="42" t="str">
        <f aca="false">IF(OR(A40="",AB40=""),"",IFERROR(INDEX(Arbeitszeitmodelle!$C$5:$C$34,MATCH(AB40,Arbeitszeitmodelle!$A$5:$A$34,0)),""))</f>
        <v/>
      </c>
      <c r="AG40" s="38"/>
      <c r="AH40" s="38"/>
      <c r="AI40" s="38"/>
      <c r="AJ40" s="41"/>
      <c r="AK40" s="41"/>
      <c r="AL40" s="38"/>
      <c r="AM40" s="41"/>
      <c r="AN40" s="38"/>
      <c r="AO40" s="38"/>
      <c r="AP40" s="38"/>
      <c r="AQ40" s="38"/>
      <c r="AR40" s="41"/>
      <c r="AS40" s="40"/>
      <c r="AT40" s="39"/>
      <c r="AU40" s="41"/>
      <c r="AV40" s="43" t="str">
        <f aca="false">IF(OR(A40="",NOT(ISNUMBER(AD40))),"",P_MinUrlaubWerktage/6*AD40)</f>
        <v/>
      </c>
      <c r="AW40" s="43" t="str">
        <f aca="false">IF(A40="","",IF(M40="Ja",P_ZusatzSB*IF(ISNUMBER(AD40),AD40,5)/5,0))</f>
        <v/>
      </c>
      <c r="AX40" s="41"/>
      <c r="AY40" s="39"/>
      <c r="AZ40" s="43" t="str">
        <f aca="false">IF(OR(A40="",NOT(ISNUMBER(AU40))),"",SUM(AU40,AW40,AX40))</f>
        <v/>
      </c>
      <c r="BA40" s="38"/>
      <c r="BB40" s="44"/>
      <c r="BC40" s="44"/>
      <c r="BD40" s="45" t="str">
        <f aca="false">IF(A40="","",IF(BA40="Stundenlohn",IF(ISNUMBER(BC40),BC40,""),IF(AND(ISNUMBER(BB40),ISNUMBER(AC40)),IF(AC40&gt;0,BB40*12/(AC40*52),""),"")))</f>
        <v/>
      </c>
      <c r="BE40" s="46" t="str">
        <f aca="false">IF(OR(A40="",NOT(ISNUMBER(F40))),"",IFERROR(DATEDIF(F40,P_Stichtag,"Y"),""))</f>
        <v/>
      </c>
      <c r="BF40" s="47" t="str">
        <f aca="false">IF(OR(A40="",NOT(ISNUMBER(BE40))),"",IF(BE40&lt;18,"Ja","Nein"))</f>
        <v/>
      </c>
      <c r="BG40" s="48" t="str">
        <f aca="false">IF(A40="","",IF((IF(OR(B40="",C40="",F40="",N40="",Q40="",AB40="",AC40="",AD40="",AU40=""),"Pflichtfelder fehlen; ","")&amp;IF(AND(ISNUMBER(AC40),AC40&gt;P_MaxWoche),"Wochenstunden &gt; Prüfgrenze; ","")&amp;IF(AND(BF40="Ja",ISNUMBER(AC40),AC40&gt;P_MaxWocheJugend),"Jugendlicher &gt; 40 h/Woche; ","")&amp;IF(AND(ISNUMBER(BD40),BD40&lt;P_Mindestlohn,Q40&lt;&gt;"Auszubildende/r",Q40&lt;&gt;"Praktikant/in"),"Mindestlohn unterschritten?; ","")&amp;IF(AND(Q40="Minijob (geringfügig)",ISNUMBER(BB40),BB40&gt;P_Minijob),"Minijob-Grenze überschritten; ","")&amp;IF(AND(R40="Ja",S40=""),"Befristung ohne Enddatum; ","")&amp;IF(AND(ISNUMBER(O40),ISNUMBER(N40),O40&lt;N40),"Austritt vor Eintritt; ","")&amp;IF(AND(ISNUMBER(AU40),ISNUMBER(AV40),AU40&lt;AV40),"Urlaub unter gesetzl. Minimum; ","")&amp;IF(AND(ISNUMBER(AC40),ISNUMBER(AF40),ABS(N(AC40)-N(AF40))&gt;0.01),"Wochenstd. weichen vom Modell ab; ","")&amp;IF(AND(AI40="Ja",OR(AJ40="",AK40="")),"Kontogrenzen fehlen; ","")&amp;IF(AND(AL40="Mit Gehalt abgegolten (Pauschale)",AM40=""),"Überstunden-Pauschale fehlt; ",""))="","OK",IF(OR(B40="",C40="",F40="",N40="",Q40="",AB40="",AC40="",AD40="",AU40=""),"Pflichtfelder fehlen; ","")&amp;IF(AND(ISNUMBER(AC40),AC40&gt;P_MaxWoche),"Wochenstunden &gt; Prüfgrenze; ","")&amp;IF(AND(BF40="Ja",ISNUMBER(AC40),AC40&gt;P_MaxWocheJugend),"Jugendlicher &gt; 40 h/Woche; ","")&amp;IF(AND(ISNUMBER(BD40),BD40&lt;P_Mindestlohn,Q40&lt;&gt;"Auszubildende/r",Q40&lt;&gt;"Praktikant/in"),"Mindestlohn unterschritten?; ","")&amp;IF(AND(Q40="Minijob (geringfügig)",ISNUMBER(BB40),BB40&gt;P_Minijob),"Minijob-Grenze überschritten; ","")&amp;IF(AND(R40="Ja",S40=""),"Befristung ohne Enddatum; ","")&amp;IF(AND(ISNUMBER(O40),ISNUMBER(N40),O40&lt;N40),"Austritt vor Eintritt; ","")&amp;IF(AND(ISNUMBER(AU40),ISNUMBER(AV40),AU40&lt;AV40),"Urlaub unter gesetzl. Minimum; ","")&amp;IF(AND(ISNUMBER(AC40),ISNUMBER(AF40),ABS(N(AC40)-N(AF40))&gt;0.01),"Wochenstd. weichen vom Modell ab; ","")&amp;IF(AND(AI40="Ja",OR(AJ40="",AK40="")),"Kontogrenzen fehlen; ","")&amp;IF(AND(AL40="Mit Gehalt abgegolten (Pauschale)",AM40=""),"Überstunden-Pauschale fehlt; ","")))</f>
        <v/>
      </c>
      <c r="BH40" s="38"/>
    </row>
    <row r="41" customFormat="false" ht="15" hidden="false" customHeight="false" outlineLevel="0" collapsed="false">
      <c r="A41" s="37"/>
      <c r="B41" s="38"/>
      <c r="C41" s="38"/>
      <c r="D41" s="38"/>
      <c r="E41" s="38"/>
      <c r="F41" s="39"/>
      <c r="G41" s="38"/>
      <c r="H41" s="38"/>
      <c r="I41" s="37"/>
      <c r="J41" s="38"/>
      <c r="K41" s="38"/>
      <c r="L41" s="38"/>
      <c r="M41" s="38"/>
      <c r="N41" s="39"/>
      <c r="O41" s="39"/>
      <c r="P41" s="38"/>
      <c r="Q41" s="38"/>
      <c r="R41" s="38"/>
      <c r="S41" s="39"/>
      <c r="T41" s="39"/>
      <c r="U41" s="38"/>
      <c r="V41" s="38"/>
      <c r="W41" s="37"/>
      <c r="X41" s="38"/>
      <c r="Y41" s="38"/>
      <c r="Z41" s="37"/>
      <c r="AA41" s="38"/>
      <c r="AB41" s="38"/>
      <c r="AC41" s="40"/>
      <c r="AD41" s="41"/>
      <c r="AE41" s="42" t="str">
        <f aca="false">IF(OR(A41="",NOT(ISNUMBER(AC41)),NOT(ISNUMBER(AD41))),"",IF(AD41&gt;0,AC41/AD41,""))</f>
        <v/>
      </c>
      <c r="AF41" s="42" t="str">
        <f aca="false">IF(OR(A41="",AB41=""),"",IFERROR(INDEX(Arbeitszeitmodelle!$C$5:$C$34,MATCH(AB41,Arbeitszeitmodelle!$A$5:$A$34,0)),""))</f>
        <v/>
      </c>
      <c r="AG41" s="38"/>
      <c r="AH41" s="38"/>
      <c r="AI41" s="38"/>
      <c r="AJ41" s="41"/>
      <c r="AK41" s="41"/>
      <c r="AL41" s="38"/>
      <c r="AM41" s="41"/>
      <c r="AN41" s="38"/>
      <c r="AO41" s="38"/>
      <c r="AP41" s="38"/>
      <c r="AQ41" s="38"/>
      <c r="AR41" s="41"/>
      <c r="AS41" s="40"/>
      <c r="AT41" s="39"/>
      <c r="AU41" s="41"/>
      <c r="AV41" s="43" t="str">
        <f aca="false">IF(OR(A41="",NOT(ISNUMBER(AD41))),"",P_MinUrlaubWerktage/6*AD41)</f>
        <v/>
      </c>
      <c r="AW41" s="43" t="str">
        <f aca="false">IF(A41="","",IF(M41="Ja",P_ZusatzSB*IF(ISNUMBER(AD41),AD41,5)/5,0))</f>
        <v/>
      </c>
      <c r="AX41" s="41"/>
      <c r="AY41" s="39"/>
      <c r="AZ41" s="43" t="str">
        <f aca="false">IF(OR(A41="",NOT(ISNUMBER(AU41))),"",SUM(AU41,AW41,AX41))</f>
        <v/>
      </c>
      <c r="BA41" s="38"/>
      <c r="BB41" s="44"/>
      <c r="BC41" s="44"/>
      <c r="BD41" s="45" t="str">
        <f aca="false">IF(A41="","",IF(BA41="Stundenlohn",IF(ISNUMBER(BC41),BC41,""),IF(AND(ISNUMBER(BB41),ISNUMBER(AC41)),IF(AC41&gt;0,BB41*12/(AC41*52),""),"")))</f>
        <v/>
      </c>
      <c r="BE41" s="46" t="str">
        <f aca="false">IF(OR(A41="",NOT(ISNUMBER(F41))),"",IFERROR(DATEDIF(F41,P_Stichtag,"Y"),""))</f>
        <v/>
      </c>
      <c r="BF41" s="47" t="str">
        <f aca="false">IF(OR(A41="",NOT(ISNUMBER(BE41))),"",IF(BE41&lt;18,"Ja","Nein"))</f>
        <v/>
      </c>
      <c r="BG41" s="48" t="str">
        <f aca="false">IF(A41="","",IF((IF(OR(B41="",C41="",F41="",N41="",Q41="",AB41="",AC41="",AD41="",AU41=""),"Pflichtfelder fehlen; ","")&amp;IF(AND(ISNUMBER(AC41),AC41&gt;P_MaxWoche),"Wochenstunden &gt; Prüfgrenze; ","")&amp;IF(AND(BF41="Ja",ISNUMBER(AC41),AC41&gt;P_MaxWocheJugend),"Jugendlicher &gt; 40 h/Woche; ","")&amp;IF(AND(ISNUMBER(BD41),BD41&lt;P_Mindestlohn,Q41&lt;&gt;"Auszubildende/r",Q41&lt;&gt;"Praktikant/in"),"Mindestlohn unterschritten?; ","")&amp;IF(AND(Q41="Minijob (geringfügig)",ISNUMBER(BB41),BB41&gt;P_Minijob),"Minijob-Grenze überschritten; ","")&amp;IF(AND(R41="Ja",S41=""),"Befristung ohne Enddatum; ","")&amp;IF(AND(ISNUMBER(O41),ISNUMBER(N41),O41&lt;N41),"Austritt vor Eintritt; ","")&amp;IF(AND(ISNUMBER(AU41),ISNUMBER(AV41),AU41&lt;AV41),"Urlaub unter gesetzl. Minimum; ","")&amp;IF(AND(ISNUMBER(AC41),ISNUMBER(AF41),ABS(N(AC41)-N(AF41))&gt;0.01),"Wochenstd. weichen vom Modell ab; ","")&amp;IF(AND(AI41="Ja",OR(AJ41="",AK41="")),"Kontogrenzen fehlen; ","")&amp;IF(AND(AL41="Mit Gehalt abgegolten (Pauschale)",AM41=""),"Überstunden-Pauschale fehlt; ",""))="","OK",IF(OR(B41="",C41="",F41="",N41="",Q41="",AB41="",AC41="",AD41="",AU41=""),"Pflichtfelder fehlen; ","")&amp;IF(AND(ISNUMBER(AC41),AC41&gt;P_MaxWoche),"Wochenstunden &gt; Prüfgrenze; ","")&amp;IF(AND(BF41="Ja",ISNUMBER(AC41),AC41&gt;P_MaxWocheJugend),"Jugendlicher &gt; 40 h/Woche; ","")&amp;IF(AND(ISNUMBER(BD41),BD41&lt;P_Mindestlohn,Q41&lt;&gt;"Auszubildende/r",Q41&lt;&gt;"Praktikant/in"),"Mindestlohn unterschritten?; ","")&amp;IF(AND(Q41="Minijob (geringfügig)",ISNUMBER(BB41),BB41&gt;P_Minijob),"Minijob-Grenze überschritten; ","")&amp;IF(AND(R41="Ja",S41=""),"Befristung ohne Enddatum; ","")&amp;IF(AND(ISNUMBER(O41),ISNUMBER(N41),O41&lt;N41),"Austritt vor Eintritt; ","")&amp;IF(AND(ISNUMBER(AU41),ISNUMBER(AV41),AU41&lt;AV41),"Urlaub unter gesetzl. Minimum; ","")&amp;IF(AND(ISNUMBER(AC41),ISNUMBER(AF41),ABS(N(AC41)-N(AF41))&gt;0.01),"Wochenstd. weichen vom Modell ab; ","")&amp;IF(AND(AI41="Ja",OR(AJ41="",AK41="")),"Kontogrenzen fehlen; ","")&amp;IF(AND(AL41="Mit Gehalt abgegolten (Pauschale)",AM41=""),"Überstunden-Pauschale fehlt; ","")))</f>
        <v/>
      </c>
      <c r="BH41" s="38"/>
    </row>
    <row r="42" customFormat="false" ht="15" hidden="false" customHeight="false" outlineLevel="0" collapsed="false">
      <c r="A42" s="37"/>
      <c r="B42" s="38"/>
      <c r="C42" s="38"/>
      <c r="D42" s="38"/>
      <c r="E42" s="38"/>
      <c r="F42" s="39"/>
      <c r="G42" s="38"/>
      <c r="H42" s="38"/>
      <c r="I42" s="37"/>
      <c r="J42" s="38"/>
      <c r="K42" s="38"/>
      <c r="L42" s="38"/>
      <c r="M42" s="38"/>
      <c r="N42" s="39"/>
      <c r="O42" s="39"/>
      <c r="P42" s="38"/>
      <c r="Q42" s="38"/>
      <c r="R42" s="38"/>
      <c r="S42" s="39"/>
      <c r="T42" s="39"/>
      <c r="U42" s="38"/>
      <c r="V42" s="38"/>
      <c r="W42" s="37"/>
      <c r="X42" s="38"/>
      <c r="Y42" s="38"/>
      <c r="Z42" s="37"/>
      <c r="AA42" s="38"/>
      <c r="AB42" s="38"/>
      <c r="AC42" s="40"/>
      <c r="AD42" s="41"/>
      <c r="AE42" s="42" t="str">
        <f aca="false">IF(OR(A42="",NOT(ISNUMBER(AC42)),NOT(ISNUMBER(AD42))),"",IF(AD42&gt;0,AC42/AD42,""))</f>
        <v/>
      </c>
      <c r="AF42" s="42" t="str">
        <f aca="false">IF(OR(A42="",AB42=""),"",IFERROR(INDEX(Arbeitszeitmodelle!$C$5:$C$34,MATCH(AB42,Arbeitszeitmodelle!$A$5:$A$34,0)),""))</f>
        <v/>
      </c>
      <c r="AG42" s="38"/>
      <c r="AH42" s="38"/>
      <c r="AI42" s="38"/>
      <c r="AJ42" s="41"/>
      <c r="AK42" s="41"/>
      <c r="AL42" s="38"/>
      <c r="AM42" s="41"/>
      <c r="AN42" s="38"/>
      <c r="AO42" s="38"/>
      <c r="AP42" s="38"/>
      <c r="AQ42" s="38"/>
      <c r="AR42" s="41"/>
      <c r="AS42" s="40"/>
      <c r="AT42" s="39"/>
      <c r="AU42" s="41"/>
      <c r="AV42" s="43" t="str">
        <f aca="false">IF(OR(A42="",NOT(ISNUMBER(AD42))),"",P_MinUrlaubWerktage/6*AD42)</f>
        <v/>
      </c>
      <c r="AW42" s="43" t="str">
        <f aca="false">IF(A42="","",IF(M42="Ja",P_ZusatzSB*IF(ISNUMBER(AD42),AD42,5)/5,0))</f>
        <v/>
      </c>
      <c r="AX42" s="41"/>
      <c r="AY42" s="39"/>
      <c r="AZ42" s="43" t="str">
        <f aca="false">IF(OR(A42="",NOT(ISNUMBER(AU42))),"",SUM(AU42,AW42,AX42))</f>
        <v/>
      </c>
      <c r="BA42" s="38"/>
      <c r="BB42" s="44"/>
      <c r="BC42" s="44"/>
      <c r="BD42" s="45" t="str">
        <f aca="false">IF(A42="","",IF(BA42="Stundenlohn",IF(ISNUMBER(BC42),BC42,""),IF(AND(ISNUMBER(BB42),ISNUMBER(AC42)),IF(AC42&gt;0,BB42*12/(AC42*52),""),"")))</f>
        <v/>
      </c>
      <c r="BE42" s="46" t="str">
        <f aca="false">IF(OR(A42="",NOT(ISNUMBER(F42))),"",IFERROR(DATEDIF(F42,P_Stichtag,"Y"),""))</f>
        <v/>
      </c>
      <c r="BF42" s="47" t="str">
        <f aca="false">IF(OR(A42="",NOT(ISNUMBER(BE42))),"",IF(BE42&lt;18,"Ja","Nein"))</f>
        <v/>
      </c>
      <c r="BG42" s="48" t="str">
        <f aca="false">IF(A42="","",IF((IF(OR(B42="",C42="",F42="",N42="",Q42="",AB42="",AC42="",AD42="",AU42=""),"Pflichtfelder fehlen; ","")&amp;IF(AND(ISNUMBER(AC42),AC42&gt;P_MaxWoche),"Wochenstunden &gt; Prüfgrenze; ","")&amp;IF(AND(BF42="Ja",ISNUMBER(AC42),AC42&gt;P_MaxWocheJugend),"Jugendlicher &gt; 40 h/Woche; ","")&amp;IF(AND(ISNUMBER(BD42),BD42&lt;P_Mindestlohn,Q42&lt;&gt;"Auszubildende/r",Q42&lt;&gt;"Praktikant/in"),"Mindestlohn unterschritten?; ","")&amp;IF(AND(Q42="Minijob (geringfügig)",ISNUMBER(BB42),BB42&gt;P_Minijob),"Minijob-Grenze überschritten; ","")&amp;IF(AND(R42="Ja",S42=""),"Befristung ohne Enddatum; ","")&amp;IF(AND(ISNUMBER(O42),ISNUMBER(N42),O42&lt;N42),"Austritt vor Eintritt; ","")&amp;IF(AND(ISNUMBER(AU42),ISNUMBER(AV42),AU42&lt;AV42),"Urlaub unter gesetzl. Minimum; ","")&amp;IF(AND(ISNUMBER(AC42),ISNUMBER(AF42),ABS(N(AC42)-N(AF42))&gt;0.01),"Wochenstd. weichen vom Modell ab; ","")&amp;IF(AND(AI42="Ja",OR(AJ42="",AK42="")),"Kontogrenzen fehlen; ","")&amp;IF(AND(AL42="Mit Gehalt abgegolten (Pauschale)",AM42=""),"Überstunden-Pauschale fehlt; ",""))="","OK",IF(OR(B42="",C42="",F42="",N42="",Q42="",AB42="",AC42="",AD42="",AU42=""),"Pflichtfelder fehlen; ","")&amp;IF(AND(ISNUMBER(AC42),AC42&gt;P_MaxWoche),"Wochenstunden &gt; Prüfgrenze; ","")&amp;IF(AND(BF42="Ja",ISNUMBER(AC42),AC42&gt;P_MaxWocheJugend),"Jugendlicher &gt; 40 h/Woche; ","")&amp;IF(AND(ISNUMBER(BD42),BD42&lt;P_Mindestlohn,Q42&lt;&gt;"Auszubildende/r",Q42&lt;&gt;"Praktikant/in"),"Mindestlohn unterschritten?; ","")&amp;IF(AND(Q42="Minijob (geringfügig)",ISNUMBER(BB42),BB42&gt;P_Minijob),"Minijob-Grenze überschritten; ","")&amp;IF(AND(R42="Ja",S42=""),"Befristung ohne Enddatum; ","")&amp;IF(AND(ISNUMBER(O42),ISNUMBER(N42),O42&lt;N42),"Austritt vor Eintritt; ","")&amp;IF(AND(ISNUMBER(AU42),ISNUMBER(AV42),AU42&lt;AV42),"Urlaub unter gesetzl. Minimum; ","")&amp;IF(AND(ISNUMBER(AC42),ISNUMBER(AF42),ABS(N(AC42)-N(AF42))&gt;0.01),"Wochenstd. weichen vom Modell ab; ","")&amp;IF(AND(AI42="Ja",OR(AJ42="",AK42="")),"Kontogrenzen fehlen; ","")&amp;IF(AND(AL42="Mit Gehalt abgegolten (Pauschale)",AM42=""),"Überstunden-Pauschale fehlt; ","")))</f>
        <v/>
      </c>
      <c r="BH42" s="38"/>
    </row>
    <row r="43" customFormat="false" ht="15" hidden="false" customHeight="false" outlineLevel="0" collapsed="false">
      <c r="A43" s="37"/>
      <c r="B43" s="38"/>
      <c r="C43" s="38"/>
      <c r="D43" s="38"/>
      <c r="E43" s="38"/>
      <c r="F43" s="39"/>
      <c r="G43" s="38"/>
      <c r="H43" s="38"/>
      <c r="I43" s="37"/>
      <c r="J43" s="38"/>
      <c r="K43" s="38"/>
      <c r="L43" s="38"/>
      <c r="M43" s="38"/>
      <c r="N43" s="39"/>
      <c r="O43" s="39"/>
      <c r="P43" s="38"/>
      <c r="Q43" s="38"/>
      <c r="R43" s="38"/>
      <c r="S43" s="39"/>
      <c r="T43" s="39"/>
      <c r="U43" s="38"/>
      <c r="V43" s="38"/>
      <c r="W43" s="37"/>
      <c r="X43" s="38"/>
      <c r="Y43" s="38"/>
      <c r="Z43" s="37"/>
      <c r="AA43" s="38"/>
      <c r="AB43" s="38"/>
      <c r="AC43" s="40"/>
      <c r="AD43" s="41"/>
      <c r="AE43" s="42" t="str">
        <f aca="false">IF(OR(A43="",NOT(ISNUMBER(AC43)),NOT(ISNUMBER(AD43))),"",IF(AD43&gt;0,AC43/AD43,""))</f>
        <v/>
      </c>
      <c r="AF43" s="42" t="str">
        <f aca="false">IF(OR(A43="",AB43=""),"",IFERROR(INDEX(Arbeitszeitmodelle!$C$5:$C$34,MATCH(AB43,Arbeitszeitmodelle!$A$5:$A$34,0)),""))</f>
        <v/>
      </c>
      <c r="AG43" s="38"/>
      <c r="AH43" s="38"/>
      <c r="AI43" s="38"/>
      <c r="AJ43" s="41"/>
      <c r="AK43" s="41"/>
      <c r="AL43" s="38"/>
      <c r="AM43" s="41"/>
      <c r="AN43" s="38"/>
      <c r="AO43" s="38"/>
      <c r="AP43" s="38"/>
      <c r="AQ43" s="38"/>
      <c r="AR43" s="41"/>
      <c r="AS43" s="40"/>
      <c r="AT43" s="39"/>
      <c r="AU43" s="41"/>
      <c r="AV43" s="43" t="str">
        <f aca="false">IF(OR(A43="",NOT(ISNUMBER(AD43))),"",P_MinUrlaubWerktage/6*AD43)</f>
        <v/>
      </c>
      <c r="AW43" s="43" t="str">
        <f aca="false">IF(A43="","",IF(M43="Ja",P_ZusatzSB*IF(ISNUMBER(AD43),AD43,5)/5,0))</f>
        <v/>
      </c>
      <c r="AX43" s="41"/>
      <c r="AY43" s="39"/>
      <c r="AZ43" s="43" t="str">
        <f aca="false">IF(OR(A43="",NOT(ISNUMBER(AU43))),"",SUM(AU43,AW43,AX43))</f>
        <v/>
      </c>
      <c r="BA43" s="38"/>
      <c r="BB43" s="44"/>
      <c r="BC43" s="44"/>
      <c r="BD43" s="45" t="str">
        <f aca="false">IF(A43="","",IF(BA43="Stundenlohn",IF(ISNUMBER(BC43),BC43,""),IF(AND(ISNUMBER(BB43),ISNUMBER(AC43)),IF(AC43&gt;0,BB43*12/(AC43*52),""),"")))</f>
        <v/>
      </c>
      <c r="BE43" s="46" t="str">
        <f aca="false">IF(OR(A43="",NOT(ISNUMBER(F43))),"",IFERROR(DATEDIF(F43,P_Stichtag,"Y"),""))</f>
        <v/>
      </c>
      <c r="BF43" s="47" t="str">
        <f aca="false">IF(OR(A43="",NOT(ISNUMBER(BE43))),"",IF(BE43&lt;18,"Ja","Nein"))</f>
        <v/>
      </c>
      <c r="BG43" s="48" t="str">
        <f aca="false">IF(A43="","",IF((IF(OR(B43="",C43="",F43="",N43="",Q43="",AB43="",AC43="",AD43="",AU43=""),"Pflichtfelder fehlen; ","")&amp;IF(AND(ISNUMBER(AC43),AC43&gt;P_MaxWoche),"Wochenstunden &gt; Prüfgrenze; ","")&amp;IF(AND(BF43="Ja",ISNUMBER(AC43),AC43&gt;P_MaxWocheJugend),"Jugendlicher &gt; 40 h/Woche; ","")&amp;IF(AND(ISNUMBER(BD43),BD43&lt;P_Mindestlohn,Q43&lt;&gt;"Auszubildende/r",Q43&lt;&gt;"Praktikant/in"),"Mindestlohn unterschritten?; ","")&amp;IF(AND(Q43="Minijob (geringfügig)",ISNUMBER(BB43),BB43&gt;P_Minijob),"Minijob-Grenze überschritten; ","")&amp;IF(AND(R43="Ja",S43=""),"Befristung ohne Enddatum; ","")&amp;IF(AND(ISNUMBER(O43),ISNUMBER(N43),O43&lt;N43),"Austritt vor Eintritt; ","")&amp;IF(AND(ISNUMBER(AU43),ISNUMBER(AV43),AU43&lt;AV43),"Urlaub unter gesetzl. Minimum; ","")&amp;IF(AND(ISNUMBER(AC43),ISNUMBER(AF43),ABS(N(AC43)-N(AF43))&gt;0.01),"Wochenstd. weichen vom Modell ab; ","")&amp;IF(AND(AI43="Ja",OR(AJ43="",AK43="")),"Kontogrenzen fehlen; ","")&amp;IF(AND(AL43="Mit Gehalt abgegolten (Pauschale)",AM43=""),"Überstunden-Pauschale fehlt; ",""))="","OK",IF(OR(B43="",C43="",F43="",N43="",Q43="",AB43="",AC43="",AD43="",AU43=""),"Pflichtfelder fehlen; ","")&amp;IF(AND(ISNUMBER(AC43),AC43&gt;P_MaxWoche),"Wochenstunden &gt; Prüfgrenze; ","")&amp;IF(AND(BF43="Ja",ISNUMBER(AC43),AC43&gt;P_MaxWocheJugend),"Jugendlicher &gt; 40 h/Woche; ","")&amp;IF(AND(ISNUMBER(BD43),BD43&lt;P_Mindestlohn,Q43&lt;&gt;"Auszubildende/r",Q43&lt;&gt;"Praktikant/in"),"Mindestlohn unterschritten?; ","")&amp;IF(AND(Q43="Minijob (geringfügig)",ISNUMBER(BB43),BB43&gt;P_Minijob),"Minijob-Grenze überschritten; ","")&amp;IF(AND(R43="Ja",S43=""),"Befristung ohne Enddatum; ","")&amp;IF(AND(ISNUMBER(O43),ISNUMBER(N43),O43&lt;N43),"Austritt vor Eintritt; ","")&amp;IF(AND(ISNUMBER(AU43),ISNUMBER(AV43),AU43&lt;AV43),"Urlaub unter gesetzl. Minimum; ","")&amp;IF(AND(ISNUMBER(AC43),ISNUMBER(AF43),ABS(N(AC43)-N(AF43))&gt;0.01),"Wochenstd. weichen vom Modell ab; ","")&amp;IF(AND(AI43="Ja",OR(AJ43="",AK43="")),"Kontogrenzen fehlen; ","")&amp;IF(AND(AL43="Mit Gehalt abgegolten (Pauschale)",AM43=""),"Überstunden-Pauschale fehlt; ","")))</f>
        <v/>
      </c>
      <c r="BH43" s="38"/>
    </row>
    <row r="44" customFormat="false" ht="15" hidden="false" customHeight="false" outlineLevel="0" collapsed="false">
      <c r="A44" s="37"/>
      <c r="B44" s="38"/>
      <c r="C44" s="38"/>
      <c r="D44" s="38"/>
      <c r="E44" s="38"/>
      <c r="F44" s="39"/>
      <c r="G44" s="38"/>
      <c r="H44" s="38"/>
      <c r="I44" s="37"/>
      <c r="J44" s="38"/>
      <c r="K44" s="38"/>
      <c r="L44" s="38"/>
      <c r="M44" s="38"/>
      <c r="N44" s="39"/>
      <c r="O44" s="39"/>
      <c r="P44" s="38"/>
      <c r="Q44" s="38"/>
      <c r="R44" s="38"/>
      <c r="S44" s="39"/>
      <c r="T44" s="39"/>
      <c r="U44" s="38"/>
      <c r="V44" s="38"/>
      <c r="W44" s="37"/>
      <c r="X44" s="38"/>
      <c r="Y44" s="38"/>
      <c r="Z44" s="37"/>
      <c r="AA44" s="38"/>
      <c r="AB44" s="38"/>
      <c r="AC44" s="40"/>
      <c r="AD44" s="41"/>
      <c r="AE44" s="42" t="str">
        <f aca="false">IF(OR(A44="",NOT(ISNUMBER(AC44)),NOT(ISNUMBER(AD44))),"",IF(AD44&gt;0,AC44/AD44,""))</f>
        <v/>
      </c>
      <c r="AF44" s="42" t="str">
        <f aca="false">IF(OR(A44="",AB44=""),"",IFERROR(INDEX(Arbeitszeitmodelle!$C$5:$C$34,MATCH(AB44,Arbeitszeitmodelle!$A$5:$A$34,0)),""))</f>
        <v/>
      </c>
      <c r="AG44" s="38"/>
      <c r="AH44" s="38"/>
      <c r="AI44" s="38"/>
      <c r="AJ44" s="41"/>
      <c r="AK44" s="41"/>
      <c r="AL44" s="38"/>
      <c r="AM44" s="41"/>
      <c r="AN44" s="38"/>
      <c r="AO44" s="38"/>
      <c r="AP44" s="38"/>
      <c r="AQ44" s="38"/>
      <c r="AR44" s="41"/>
      <c r="AS44" s="40"/>
      <c r="AT44" s="39"/>
      <c r="AU44" s="41"/>
      <c r="AV44" s="43" t="str">
        <f aca="false">IF(OR(A44="",NOT(ISNUMBER(AD44))),"",P_MinUrlaubWerktage/6*AD44)</f>
        <v/>
      </c>
      <c r="AW44" s="43" t="str">
        <f aca="false">IF(A44="","",IF(M44="Ja",P_ZusatzSB*IF(ISNUMBER(AD44),AD44,5)/5,0))</f>
        <v/>
      </c>
      <c r="AX44" s="41"/>
      <c r="AY44" s="39"/>
      <c r="AZ44" s="43" t="str">
        <f aca="false">IF(OR(A44="",NOT(ISNUMBER(AU44))),"",SUM(AU44,AW44,AX44))</f>
        <v/>
      </c>
      <c r="BA44" s="38"/>
      <c r="BB44" s="44"/>
      <c r="BC44" s="44"/>
      <c r="BD44" s="45" t="str">
        <f aca="false">IF(A44="","",IF(BA44="Stundenlohn",IF(ISNUMBER(BC44),BC44,""),IF(AND(ISNUMBER(BB44),ISNUMBER(AC44)),IF(AC44&gt;0,BB44*12/(AC44*52),""),"")))</f>
        <v/>
      </c>
      <c r="BE44" s="46" t="str">
        <f aca="false">IF(OR(A44="",NOT(ISNUMBER(F44))),"",IFERROR(DATEDIF(F44,P_Stichtag,"Y"),""))</f>
        <v/>
      </c>
      <c r="BF44" s="47" t="str">
        <f aca="false">IF(OR(A44="",NOT(ISNUMBER(BE44))),"",IF(BE44&lt;18,"Ja","Nein"))</f>
        <v/>
      </c>
      <c r="BG44" s="48" t="str">
        <f aca="false">IF(A44="","",IF((IF(OR(B44="",C44="",F44="",N44="",Q44="",AB44="",AC44="",AD44="",AU44=""),"Pflichtfelder fehlen; ","")&amp;IF(AND(ISNUMBER(AC44),AC44&gt;P_MaxWoche),"Wochenstunden &gt; Prüfgrenze; ","")&amp;IF(AND(BF44="Ja",ISNUMBER(AC44),AC44&gt;P_MaxWocheJugend),"Jugendlicher &gt; 40 h/Woche; ","")&amp;IF(AND(ISNUMBER(BD44),BD44&lt;P_Mindestlohn,Q44&lt;&gt;"Auszubildende/r",Q44&lt;&gt;"Praktikant/in"),"Mindestlohn unterschritten?; ","")&amp;IF(AND(Q44="Minijob (geringfügig)",ISNUMBER(BB44),BB44&gt;P_Minijob),"Minijob-Grenze überschritten; ","")&amp;IF(AND(R44="Ja",S44=""),"Befristung ohne Enddatum; ","")&amp;IF(AND(ISNUMBER(O44),ISNUMBER(N44),O44&lt;N44),"Austritt vor Eintritt; ","")&amp;IF(AND(ISNUMBER(AU44),ISNUMBER(AV44),AU44&lt;AV44),"Urlaub unter gesetzl. Minimum; ","")&amp;IF(AND(ISNUMBER(AC44),ISNUMBER(AF44),ABS(N(AC44)-N(AF44))&gt;0.01),"Wochenstd. weichen vom Modell ab; ","")&amp;IF(AND(AI44="Ja",OR(AJ44="",AK44="")),"Kontogrenzen fehlen; ","")&amp;IF(AND(AL44="Mit Gehalt abgegolten (Pauschale)",AM44=""),"Überstunden-Pauschale fehlt; ",""))="","OK",IF(OR(B44="",C44="",F44="",N44="",Q44="",AB44="",AC44="",AD44="",AU44=""),"Pflichtfelder fehlen; ","")&amp;IF(AND(ISNUMBER(AC44),AC44&gt;P_MaxWoche),"Wochenstunden &gt; Prüfgrenze; ","")&amp;IF(AND(BF44="Ja",ISNUMBER(AC44),AC44&gt;P_MaxWocheJugend),"Jugendlicher &gt; 40 h/Woche; ","")&amp;IF(AND(ISNUMBER(BD44),BD44&lt;P_Mindestlohn,Q44&lt;&gt;"Auszubildende/r",Q44&lt;&gt;"Praktikant/in"),"Mindestlohn unterschritten?; ","")&amp;IF(AND(Q44="Minijob (geringfügig)",ISNUMBER(BB44),BB44&gt;P_Minijob),"Minijob-Grenze überschritten; ","")&amp;IF(AND(R44="Ja",S44=""),"Befristung ohne Enddatum; ","")&amp;IF(AND(ISNUMBER(O44),ISNUMBER(N44),O44&lt;N44),"Austritt vor Eintritt; ","")&amp;IF(AND(ISNUMBER(AU44),ISNUMBER(AV44),AU44&lt;AV44),"Urlaub unter gesetzl. Minimum; ","")&amp;IF(AND(ISNUMBER(AC44),ISNUMBER(AF44),ABS(N(AC44)-N(AF44))&gt;0.01),"Wochenstd. weichen vom Modell ab; ","")&amp;IF(AND(AI44="Ja",OR(AJ44="",AK44="")),"Kontogrenzen fehlen; ","")&amp;IF(AND(AL44="Mit Gehalt abgegolten (Pauschale)",AM44=""),"Überstunden-Pauschale fehlt; ","")))</f>
        <v/>
      </c>
      <c r="BH44" s="38"/>
    </row>
    <row r="45" customFormat="false" ht="15" hidden="false" customHeight="false" outlineLevel="0" collapsed="false">
      <c r="A45" s="37"/>
      <c r="B45" s="38"/>
      <c r="C45" s="38"/>
      <c r="D45" s="38"/>
      <c r="E45" s="38"/>
      <c r="F45" s="39"/>
      <c r="G45" s="38"/>
      <c r="H45" s="38"/>
      <c r="I45" s="37"/>
      <c r="J45" s="38"/>
      <c r="K45" s="38"/>
      <c r="L45" s="38"/>
      <c r="M45" s="38"/>
      <c r="N45" s="39"/>
      <c r="O45" s="39"/>
      <c r="P45" s="38"/>
      <c r="Q45" s="38"/>
      <c r="R45" s="38"/>
      <c r="S45" s="39"/>
      <c r="T45" s="39"/>
      <c r="U45" s="38"/>
      <c r="V45" s="38"/>
      <c r="W45" s="37"/>
      <c r="X45" s="38"/>
      <c r="Y45" s="38"/>
      <c r="Z45" s="37"/>
      <c r="AA45" s="38"/>
      <c r="AB45" s="38"/>
      <c r="AC45" s="40"/>
      <c r="AD45" s="41"/>
      <c r="AE45" s="42" t="str">
        <f aca="false">IF(OR(A45="",NOT(ISNUMBER(AC45)),NOT(ISNUMBER(AD45))),"",IF(AD45&gt;0,AC45/AD45,""))</f>
        <v/>
      </c>
      <c r="AF45" s="42" t="str">
        <f aca="false">IF(OR(A45="",AB45=""),"",IFERROR(INDEX(Arbeitszeitmodelle!$C$5:$C$34,MATCH(AB45,Arbeitszeitmodelle!$A$5:$A$34,0)),""))</f>
        <v/>
      </c>
      <c r="AG45" s="38"/>
      <c r="AH45" s="38"/>
      <c r="AI45" s="38"/>
      <c r="AJ45" s="41"/>
      <c r="AK45" s="41"/>
      <c r="AL45" s="38"/>
      <c r="AM45" s="41"/>
      <c r="AN45" s="38"/>
      <c r="AO45" s="38"/>
      <c r="AP45" s="38"/>
      <c r="AQ45" s="38"/>
      <c r="AR45" s="41"/>
      <c r="AS45" s="40"/>
      <c r="AT45" s="39"/>
      <c r="AU45" s="41"/>
      <c r="AV45" s="43" t="str">
        <f aca="false">IF(OR(A45="",NOT(ISNUMBER(AD45))),"",P_MinUrlaubWerktage/6*AD45)</f>
        <v/>
      </c>
      <c r="AW45" s="43" t="str">
        <f aca="false">IF(A45="","",IF(M45="Ja",P_ZusatzSB*IF(ISNUMBER(AD45),AD45,5)/5,0))</f>
        <v/>
      </c>
      <c r="AX45" s="41"/>
      <c r="AY45" s="39"/>
      <c r="AZ45" s="43" t="str">
        <f aca="false">IF(OR(A45="",NOT(ISNUMBER(AU45))),"",SUM(AU45,AW45,AX45))</f>
        <v/>
      </c>
      <c r="BA45" s="38"/>
      <c r="BB45" s="44"/>
      <c r="BC45" s="44"/>
      <c r="BD45" s="45" t="str">
        <f aca="false">IF(A45="","",IF(BA45="Stundenlohn",IF(ISNUMBER(BC45),BC45,""),IF(AND(ISNUMBER(BB45),ISNUMBER(AC45)),IF(AC45&gt;0,BB45*12/(AC45*52),""),"")))</f>
        <v/>
      </c>
      <c r="BE45" s="46" t="str">
        <f aca="false">IF(OR(A45="",NOT(ISNUMBER(F45))),"",IFERROR(DATEDIF(F45,P_Stichtag,"Y"),""))</f>
        <v/>
      </c>
      <c r="BF45" s="47" t="str">
        <f aca="false">IF(OR(A45="",NOT(ISNUMBER(BE45))),"",IF(BE45&lt;18,"Ja","Nein"))</f>
        <v/>
      </c>
      <c r="BG45" s="48" t="str">
        <f aca="false">IF(A45="","",IF((IF(OR(B45="",C45="",F45="",N45="",Q45="",AB45="",AC45="",AD45="",AU45=""),"Pflichtfelder fehlen; ","")&amp;IF(AND(ISNUMBER(AC45),AC45&gt;P_MaxWoche),"Wochenstunden &gt; Prüfgrenze; ","")&amp;IF(AND(BF45="Ja",ISNUMBER(AC45),AC45&gt;P_MaxWocheJugend),"Jugendlicher &gt; 40 h/Woche; ","")&amp;IF(AND(ISNUMBER(BD45),BD45&lt;P_Mindestlohn,Q45&lt;&gt;"Auszubildende/r",Q45&lt;&gt;"Praktikant/in"),"Mindestlohn unterschritten?; ","")&amp;IF(AND(Q45="Minijob (geringfügig)",ISNUMBER(BB45),BB45&gt;P_Minijob),"Minijob-Grenze überschritten; ","")&amp;IF(AND(R45="Ja",S45=""),"Befristung ohne Enddatum; ","")&amp;IF(AND(ISNUMBER(O45),ISNUMBER(N45),O45&lt;N45),"Austritt vor Eintritt; ","")&amp;IF(AND(ISNUMBER(AU45),ISNUMBER(AV45),AU45&lt;AV45),"Urlaub unter gesetzl. Minimum; ","")&amp;IF(AND(ISNUMBER(AC45),ISNUMBER(AF45),ABS(N(AC45)-N(AF45))&gt;0.01),"Wochenstd. weichen vom Modell ab; ","")&amp;IF(AND(AI45="Ja",OR(AJ45="",AK45="")),"Kontogrenzen fehlen; ","")&amp;IF(AND(AL45="Mit Gehalt abgegolten (Pauschale)",AM45=""),"Überstunden-Pauschale fehlt; ",""))="","OK",IF(OR(B45="",C45="",F45="",N45="",Q45="",AB45="",AC45="",AD45="",AU45=""),"Pflichtfelder fehlen; ","")&amp;IF(AND(ISNUMBER(AC45),AC45&gt;P_MaxWoche),"Wochenstunden &gt; Prüfgrenze; ","")&amp;IF(AND(BF45="Ja",ISNUMBER(AC45),AC45&gt;P_MaxWocheJugend),"Jugendlicher &gt; 40 h/Woche; ","")&amp;IF(AND(ISNUMBER(BD45),BD45&lt;P_Mindestlohn,Q45&lt;&gt;"Auszubildende/r",Q45&lt;&gt;"Praktikant/in"),"Mindestlohn unterschritten?; ","")&amp;IF(AND(Q45="Minijob (geringfügig)",ISNUMBER(BB45),BB45&gt;P_Minijob),"Minijob-Grenze überschritten; ","")&amp;IF(AND(R45="Ja",S45=""),"Befristung ohne Enddatum; ","")&amp;IF(AND(ISNUMBER(O45),ISNUMBER(N45),O45&lt;N45),"Austritt vor Eintritt; ","")&amp;IF(AND(ISNUMBER(AU45),ISNUMBER(AV45),AU45&lt;AV45),"Urlaub unter gesetzl. Minimum; ","")&amp;IF(AND(ISNUMBER(AC45),ISNUMBER(AF45),ABS(N(AC45)-N(AF45))&gt;0.01),"Wochenstd. weichen vom Modell ab; ","")&amp;IF(AND(AI45="Ja",OR(AJ45="",AK45="")),"Kontogrenzen fehlen; ","")&amp;IF(AND(AL45="Mit Gehalt abgegolten (Pauschale)",AM45=""),"Überstunden-Pauschale fehlt; ","")))</f>
        <v/>
      </c>
      <c r="BH45" s="38"/>
    </row>
    <row r="46" customFormat="false" ht="15" hidden="false" customHeight="false" outlineLevel="0" collapsed="false">
      <c r="A46" s="37"/>
      <c r="B46" s="38"/>
      <c r="C46" s="38"/>
      <c r="D46" s="38"/>
      <c r="E46" s="38"/>
      <c r="F46" s="39"/>
      <c r="G46" s="38"/>
      <c r="H46" s="38"/>
      <c r="I46" s="37"/>
      <c r="J46" s="38"/>
      <c r="K46" s="38"/>
      <c r="L46" s="38"/>
      <c r="M46" s="38"/>
      <c r="N46" s="39"/>
      <c r="O46" s="39"/>
      <c r="P46" s="38"/>
      <c r="Q46" s="38"/>
      <c r="R46" s="38"/>
      <c r="S46" s="39"/>
      <c r="T46" s="39"/>
      <c r="U46" s="38"/>
      <c r="V46" s="38"/>
      <c r="W46" s="37"/>
      <c r="X46" s="38"/>
      <c r="Y46" s="38"/>
      <c r="Z46" s="37"/>
      <c r="AA46" s="38"/>
      <c r="AB46" s="38"/>
      <c r="AC46" s="40"/>
      <c r="AD46" s="41"/>
      <c r="AE46" s="42" t="str">
        <f aca="false">IF(OR(A46="",NOT(ISNUMBER(AC46)),NOT(ISNUMBER(AD46))),"",IF(AD46&gt;0,AC46/AD46,""))</f>
        <v/>
      </c>
      <c r="AF46" s="42" t="str">
        <f aca="false">IF(OR(A46="",AB46=""),"",IFERROR(INDEX(Arbeitszeitmodelle!$C$5:$C$34,MATCH(AB46,Arbeitszeitmodelle!$A$5:$A$34,0)),""))</f>
        <v/>
      </c>
      <c r="AG46" s="38"/>
      <c r="AH46" s="38"/>
      <c r="AI46" s="38"/>
      <c r="AJ46" s="41"/>
      <c r="AK46" s="41"/>
      <c r="AL46" s="38"/>
      <c r="AM46" s="41"/>
      <c r="AN46" s="38"/>
      <c r="AO46" s="38"/>
      <c r="AP46" s="38"/>
      <c r="AQ46" s="38"/>
      <c r="AR46" s="41"/>
      <c r="AS46" s="40"/>
      <c r="AT46" s="39"/>
      <c r="AU46" s="41"/>
      <c r="AV46" s="43" t="str">
        <f aca="false">IF(OR(A46="",NOT(ISNUMBER(AD46))),"",P_MinUrlaubWerktage/6*AD46)</f>
        <v/>
      </c>
      <c r="AW46" s="43" t="str">
        <f aca="false">IF(A46="","",IF(M46="Ja",P_ZusatzSB*IF(ISNUMBER(AD46),AD46,5)/5,0))</f>
        <v/>
      </c>
      <c r="AX46" s="41"/>
      <c r="AY46" s="39"/>
      <c r="AZ46" s="43" t="str">
        <f aca="false">IF(OR(A46="",NOT(ISNUMBER(AU46))),"",SUM(AU46,AW46,AX46))</f>
        <v/>
      </c>
      <c r="BA46" s="38"/>
      <c r="BB46" s="44"/>
      <c r="BC46" s="44"/>
      <c r="BD46" s="45" t="str">
        <f aca="false">IF(A46="","",IF(BA46="Stundenlohn",IF(ISNUMBER(BC46),BC46,""),IF(AND(ISNUMBER(BB46),ISNUMBER(AC46)),IF(AC46&gt;0,BB46*12/(AC46*52),""),"")))</f>
        <v/>
      </c>
      <c r="BE46" s="46" t="str">
        <f aca="false">IF(OR(A46="",NOT(ISNUMBER(F46))),"",IFERROR(DATEDIF(F46,P_Stichtag,"Y"),""))</f>
        <v/>
      </c>
      <c r="BF46" s="47" t="str">
        <f aca="false">IF(OR(A46="",NOT(ISNUMBER(BE46))),"",IF(BE46&lt;18,"Ja","Nein"))</f>
        <v/>
      </c>
      <c r="BG46" s="48" t="str">
        <f aca="false">IF(A46="","",IF((IF(OR(B46="",C46="",F46="",N46="",Q46="",AB46="",AC46="",AD46="",AU46=""),"Pflichtfelder fehlen; ","")&amp;IF(AND(ISNUMBER(AC46),AC46&gt;P_MaxWoche),"Wochenstunden &gt; Prüfgrenze; ","")&amp;IF(AND(BF46="Ja",ISNUMBER(AC46),AC46&gt;P_MaxWocheJugend),"Jugendlicher &gt; 40 h/Woche; ","")&amp;IF(AND(ISNUMBER(BD46),BD46&lt;P_Mindestlohn,Q46&lt;&gt;"Auszubildende/r",Q46&lt;&gt;"Praktikant/in"),"Mindestlohn unterschritten?; ","")&amp;IF(AND(Q46="Minijob (geringfügig)",ISNUMBER(BB46),BB46&gt;P_Minijob),"Minijob-Grenze überschritten; ","")&amp;IF(AND(R46="Ja",S46=""),"Befristung ohne Enddatum; ","")&amp;IF(AND(ISNUMBER(O46),ISNUMBER(N46),O46&lt;N46),"Austritt vor Eintritt; ","")&amp;IF(AND(ISNUMBER(AU46),ISNUMBER(AV46),AU46&lt;AV46),"Urlaub unter gesetzl. Minimum; ","")&amp;IF(AND(ISNUMBER(AC46),ISNUMBER(AF46),ABS(N(AC46)-N(AF46))&gt;0.01),"Wochenstd. weichen vom Modell ab; ","")&amp;IF(AND(AI46="Ja",OR(AJ46="",AK46="")),"Kontogrenzen fehlen; ","")&amp;IF(AND(AL46="Mit Gehalt abgegolten (Pauschale)",AM46=""),"Überstunden-Pauschale fehlt; ",""))="","OK",IF(OR(B46="",C46="",F46="",N46="",Q46="",AB46="",AC46="",AD46="",AU46=""),"Pflichtfelder fehlen; ","")&amp;IF(AND(ISNUMBER(AC46),AC46&gt;P_MaxWoche),"Wochenstunden &gt; Prüfgrenze; ","")&amp;IF(AND(BF46="Ja",ISNUMBER(AC46),AC46&gt;P_MaxWocheJugend),"Jugendlicher &gt; 40 h/Woche; ","")&amp;IF(AND(ISNUMBER(BD46),BD46&lt;P_Mindestlohn,Q46&lt;&gt;"Auszubildende/r",Q46&lt;&gt;"Praktikant/in"),"Mindestlohn unterschritten?; ","")&amp;IF(AND(Q46="Minijob (geringfügig)",ISNUMBER(BB46),BB46&gt;P_Minijob),"Minijob-Grenze überschritten; ","")&amp;IF(AND(R46="Ja",S46=""),"Befristung ohne Enddatum; ","")&amp;IF(AND(ISNUMBER(O46),ISNUMBER(N46),O46&lt;N46),"Austritt vor Eintritt; ","")&amp;IF(AND(ISNUMBER(AU46),ISNUMBER(AV46),AU46&lt;AV46),"Urlaub unter gesetzl. Minimum; ","")&amp;IF(AND(ISNUMBER(AC46),ISNUMBER(AF46),ABS(N(AC46)-N(AF46))&gt;0.01),"Wochenstd. weichen vom Modell ab; ","")&amp;IF(AND(AI46="Ja",OR(AJ46="",AK46="")),"Kontogrenzen fehlen; ","")&amp;IF(AND(AL46="Mit Gehalt abgegolten (Pauschale)",AM46=""),"Überstunden-Pauschale fehlt; ","")))</f>
        <v/>
      </c>
      <c r="BH46" s="38"/>
    </row>
    <row r="47" customFormat="false" ht="15" hidden="false" customHeight="false" outlineLevel="0" collapsed="false">
      <c r="A47" s="37"/>
      <c r="B47" s="38"/>
      <c r="C47" s="38"/>
      <c r="D47" s="38"/>
      <c r="E47" s="38"/>
      <c r="F47" s="39"/>
      <c r="G47" s="38"/>
      <c r="H47" s="38"/>
      <c r="I47" s="37"/>
      <c r="J47" s="38"/>
      <c r="K47" s="38"/>
      <c r="L47" s="38"/>
      <c r="M47" s="38"/>
      <c r="N47" s="39"/>
      <c r="O47" s="39"/>
      <c r="P47" s="38"/>
      <c r="Q47" s="38"/>
      <c r="R47" s="38"/>
      <c r="S47" s="39"/>
      <c r="T47" s="39"/>
      <c r="U47" s="38"/>
      <c r="V47" s="38"/>
      <c r="W47" s="37"/>
      <c r="X47" s="38"/>
      <c r="Y47" s="38"/>
      <c r="Z47" s="37"/>
      <c r="AA47" s="38"/>
      <c r="AB47" s="38"/>
      <c r="AC47" s="40"/>
      <c r="AD47" s="41"/>
      <c r="AE47" s="42" t="str">
        <f aca="false">IF(OR(A47="",NOT(ISNUMBER(AC47)),NOT(ISNUMBER(AD47))),"",IF(AD47&gt;0,AC47/AD47,""))</f>
        <v/>
      </c>
      <c r="AF47" s="42" t="str">
        <f aca="false">IF(OR(A47="",AB47=""),"",IFERROR(INDEX(Arbeitszeitmodelle!$C$5:$C$34,MATCH(AB47,Arbeitszeitmodelle!$A$5:$A$34,0)),""))</f>
        <v/>
      </c>
      <c r="AG47" s="38"/>
      <c r="AH47" s="38"/>
      <c r="AI47" s="38"/>
      <c r="AJ47" s="41"/>
      <c r="AK47" s="41"/>
      <c r="AL47" s="38"/>
      <c r="AM47" s="41"/>
      <c r="AN47" s="38"/>
      <c r="AO47" s="38"/>
      <c r="AP47" s="38"/>
      <c r="AQ47" s="38"/>
      <c r="AR47" s="41"/>
      <c r="AS47" s="40"/>
      <c r="AT47" s="39"/>
      <c r="AU47" s="41"/>
      <c r="AV47" s="43" t="str">
        <f aca="false">IF(OR(A47="",NOT(ISNUMBER(AD47))),"",P_MinUrlaubWerktage/6*AD47)</f>
        <v/>
      </c>
      <c r="AW47" s="43" t="str">
        <f aca="false">IF(A47="","",IF(M47="Ja",P_ZusatzSB*IF(ISNUMBER(AD47),AD47,5)/5,0))</f>
        <v/>
      </c>
      <c r="AX47" s="41"/>
      <c r="AY47" s="39"/>
      <c r="AZ47" s="43" t="str">
        <f aca="false">IF(OR(A47="",NOT(ISNUMBER(AU47))),"",SUM(AU47,AW47,AX47))</f>
        <v/>
      </c>
      <c r="BA47" s="38"/>
      <c r="BB47" s="44"/>
      <c r="BC47" s="44"/>
      <c r="BD47" s="45" t="str">
        <f aca="false">IF(A47="","",IF(BA47="Stundenlohn",IF(ISNUMBER(BC47),BC47,""),IF(AND(ISNUMBER(BB47),ISNUMBER(AC47)),IF(AC47&gt;0,BB47*12/(AC47*52),""),"")))</f>
        <v/>
      </c>
      <c r="BE47" s="46" t="str">
        <f aca="false">IF(OR(A47="",NOT(ISNUMBER(F47))),"",IFERROR(DATEDIF(F47,P_Stichtag,"Y"),""))</f>
        <v/>
      </c>
      <c r="BF47" s="47" t="str">
        <f aca="false">IF(OR(A47="",NOT(ISNUMBER(BE47))),"",IF(BE47&lt;18,"Ja","Nein"))</f>
        <v/>
      </c>
      <c r="BG47" s="48" t="str">
        <f aca="false">IF(A47="","",IF((IF(OR(B47="",C47="",F47="",N47="",Q47="",AB47="",AC47="",AD47="",AU47=""),"Pflichtfelder fehlen; ","")&amp;IF(AND(ISNUMBER(AC47),AC47&gt;P_MaxWoche),"Wochenstunden &gt; Prüfgrenze; ","")&amp;IF(AND(BF47="Ja",ISNUMBER(AC47),AC47&gt;P_MaxWocheJugend),"Jugendlicher &gt; 40 h/Woche; ","")&amp;IF(AND(ISNUMBER(BD47),BD47&lt;P_Mindestlohn,Q47&lt;&gt;"Auszubildende/r",Q47&lt;&gt;"Praktikant/in"),"Mindestlohn unterschritten?; ","")&amp;IF(AND(Q47="Minijob (geringfügig)",ISNUMBER(BB47),BB47&gt;P_Minijob),"Minijob-Grenze überschritten; ","")&amp;IF(AND(R47="Ja",S47=""),"Befristung ohne Enddatum; ","")&amp;IF(AND(ISNUMBER(O47),ISNUMBER(N47),O47&lt;N47),"Austritt vor Eintritt; ","")&amp;IF(AND(ISNUMBER(AU47),ISNUMBER(AV47),AU47&lt;AV47),"Urlaub unter gesetzl. Minimum; ","")&amp;IF(AND(ISNUMBER(AC47),ISNUMBER(AF47),ABS(N(AC47)-N(AF47))&gt;0.01),"Wochenstd. weichen vom Modell ab; ","")&amp;IF(AND(AI47="Ja",OR(AJ47="",AK47="")),"Kontogrenzen fehlen; ","")&amp;IF(AND(AL47="Mit Gehalt abgegolten (Pauschale)",AM47=""),"Überstunden-Pauschale fehlt; ",""))="","OK",IF(OR(B47="",C47="",F47="",N47="",Q47="",AB47="",AC47="",AD47="",AU47=""),"Pflichtfelder fehlen; ","")&amp;IF(AND(ISNUMBER(AC47),AC47&gt;P_MaxWoche),"Wochenstunden &gt; Prüfgrenze; ","")&amp;IF(AND(BF47="Ja",ISNUMBER(AC47),AC47&gt;P_MaxWocheJugend),"Jugendlicher &gt; 40 h/Woche; ","")&amp;IF(AND(ISNUMBER(BD47),BD47&lt;P_Mindestlohn,Q47&lt;&gt;"Auszubildende/r",Q47&lt;&gt;"Praktikant/in"),"Mindestlohn unterschritten?; ","")&amp;IF(AND(Q47="Minijob (geringfügig)",ISNUMBER(BB47),BB47&gt;P_Minijob),"Minijob-Grenze überschritten; ","")&amp;IF(AND(R47="Ja",S47=""),"Befristung ohne Enddatum; ","")&amp;IF(AND(ISNUMBER(O47),ISNUMBER(N47),O47&lt;N47),"Austritt vor Eintritt; ","")&amp;IF(AND(ISNUMBER(AU47),ISNUMBER(AV47),AU47&lt;AV47),"Urlaub unter gesetzl. Minimum; ","")&amp;IF(AND(ISNUMBER(AC47),ISNUMBER(AF47),ABS(N(AC47)-N(AF47))&gt;0.01),"Wochenstd. weichen vom Modell ab; ","")&amp;IF(AND(AI47="Ja",OR(AJ47="",AK47="")),"Kontogrenzen fehlen; ","")&amp;IF(AND(AL47="Mit Gehalt abgegolten (Pauschale)",AM47=""),"Überstunden-Pauschale fehlt; ","")))</f>
        <v/>
      </c>
      <c r="BH47" s="38"/>
    </row>
    <row r="48" customFormat="false" ht="15" hidden="false" customHeight="false" outlineLevel="0" collapsed="false">
      <c r="A48" s="37"/>
      <c r="B48" s="38"/>
      <c r="C48" s="38"/>
      <c r="D48" s="38"/>
      <c r="E48" s="38"/>
      <c r="F48" s="39"/>
      <c r="G48" s="38"/>
      <c r="H48" s="38"/>
      <c r="I48" s="37"/>
      <c r="J48" s="38"/>
      <c r="K48" s="38"/>
      <c r="L48" s="38"/>
      <c r="M48" s="38"/>
      <c r="N48" s="39"/>
      <c r="O48" s="39"/>
      <c r="P48" s="38"/>
      <c r="Q48" s="38"/>
      <c r="R48" s="38"/>
      <c r="S48" s="39"/>
      <c r="T48" s="39"/>
      <c r="U48" s="38"/>
      <c r="V48" s="38"/>
      <c r="W48" s="37"/>
      <c r="X48" s="38"/>
      <c r="Y48" s="38"/>
      <c r="Z48" s="37"/>
      <c r="AA48" s="38"/>
      <c r="AB48" s="38"/>
      <c r="AC48" s="40"/>
      <c r="AD48" s="41"/>
      <c r="AE48" s="42" t="str">
        <f aca="false">IF(OR(A48="",NOT(ISNUMBER(AC48)),NOT(ISNUMBER(AD48))),"",IF(AD48&gt;0,AC48/AD48,""))</f>
        <v/>
      </c>
      <c r="AF48" s="42" t="str">
        <f aca="false">IF(OR(A48="",AB48=""),"",IFERROR(INDEX(Arbeitszeitmodelle!$C$5:$C$34,MATCH(AB48,Arbeitszeitmodelle!$A$5:$A$34,0)),""))</f>
        <v/>
      </c>
      <c r="AG48" s="38"/>
      <c r="AH48" s="38"/>
      <c r="AI48" s="38"/>
      <c r="AJ48" s="41"/>
      <c r="AK48" s="41"/>
      <c r="AL48" s="38"/>
      <c r="AM48" s="41"/>
      <c r="AN48" s="38"/>
      <c r="AO48" s="38"/>
      <c r="AP48" s="38"/>
      <c r="AQ48" s="38"/>
      <c r="AR48" s="41"/>
      <c r="AS48" s="40"/>
      <c r="AT48" s="39"/>
      <c r="AU48" s="41"/>
      <c r="AV48" s="43" t="str">
        <f aca="false">IF(OR(A48="",NOT(ISNUMBER(AD48))),"",P_MinUrlaubWerktage/6*AD48)</f>
        <v/>
      </c>
      <c r="AW48" s="43" t="str">
        <f aca="false">IF(A48="","",IF(M48="Ja",P_ZusatzSB*IF(ISNUMBER(AD48),AD48,5)/5,0))</f>
        <v/>
      </c>
      <c r="AX48" s="41"/>
      <c r="AY48" s="39"/>
      <c r="AZ48" s="43" t="str">
        <f aca="false">IF(OR(A48="",NOT(ISNUMBER(AU48))),"",SUM(AU48,AW48,AX48))</f>
        <v/>
      </c>
      <c r="BA48" s="38"/>
      <c r="BB48" s="44"/>
      <c r="BC48" s="44"/>
      <c r="BD48" s="45" t="str">
        <f aca="false">IF(A48="","",IF(BA48="Stundenlohn",IF(ISNUMBER(BC48),BC48,""),IF(AND(ISNUMBER(BB48),ISNUMBER(AC48)),IF(AC48&gt;0,BB48*12/(AC48*52),""),"")))</f>
        <v/>
      </c>
      <c r="BE48" s="46" t="str">
        <f aca="false">IF(OR(A48="",NOT(ISNUMBER(F48))),"",IFERROR(DATEDIF(F48,P_Stichtag,"Y"),""))</f>
        <v/>
      </c>
      <c r="BF48" s="47" t="str">
        <f aca="false">IF(OR(A48="",NOT(ISNUMBER(BE48))),"",IF(BE48&lt;18,"Ja","Nein"))</f>
        <v/>
      </c>
      <c r="BG48" s="48" t="str">
        <f aca="false">IF(A48="","",IF((IF(OR(B48="",C48="",F48="",N48="",Q48="",AB48="",AC48="",AD48="",AU48=""),"Pflichtfelder fehlen; ","")&amp;IF(AND(ISNUMBER(AC48),AC48&gt;P_MaxWoche),"Wochenstunden &gt; Prüfgrenze; ","")&amp;IF(AND(BF48="Ja",ISNUMBER(AC48),AC48&gt;P_MaxWocheJugend),"Jugendlicher &gt; 40 h/Woche; ","")&amp;IF(AND(ISNUMBER(BD48),BD48&lt;P_Mindestlohn,Q48&lt;&gt;"Auszubildende/r",Q48&lt;&gt;"Praktikant/in"),"Mindestlohn unterschritten?; ","")&amp;IF(AND(Q48="Minijob (geringfügig)",ISNUMBER(BB48),BB48&gt;P_Minijob),"Minijob-Grenze überschritten; ","")&amp;IF(AND(R48="Ja",S48=""),"Befristung ohne Enddatum; ","")&amp;IF(AND(ISNUMBER(O48),ISNUMBER(N48),O48&lt;N48),"Austritt vor Eintritt; ","")&amp;IF(AND(ISNUMBER(AU48),ISNUMBER(AV48),AU48&lt;AV48),"Urlaub unter gesetzl. Minimum; ","")&amp;IF(AND(ISNUMBER(AC48),ISNUMBER(AF48),ABS(N(AC48)-N(AF48))&gt;0.01),"Wochenstd. weichen vom Modell ab; ","")&amp;IF(AND(AI48="Ja",OR(AJ48="",AK48="")),"Kontogrenzen fehlen; ","")&amp;IF(AND(AL48="Mit Gehalt abgegolten (Pauschale)",AM48=""),"Überstunden-Pauschale fehlt; ",""))="","OK",IF(OR(B48="",C48="",F48="",N48="",Q48="",AB48="",AC48="",AD48="",AU48=""),"Pflichtfelder fehlen; ","")&amp;IF(AND(ISNUMBER(AC48),AC48&gt;P_MaxWoche),"Wochenstunden &gt; Prüfgrenze; ","")&amp;IF(AND(BF48="Ja",ISNUMBER(AC48),AC48&gt;P_MaxWocheJugend),"Jugendlicher &gt; 40 h/Woche; ","")&amp;IF(AND(ISNUMBER(BD48),BD48&lt;P_Mindestlohn,Q48&lt;&gt;"Auszubildende/r",Q48&lt;&gt;"Praktikant/in"),"Mindestlohn unterschritten?; ","")&amp;IF(AND(Q48="Minijob (geringfügig)",ISNUMBER(BB48),BB48&gt;P_Minijob),"Minijob-Grenze überschritten; ","")&amp;IF(AND(R48="Ja",S48=""),"Befristung ohne Enddatum; ","")&amp;IF(AND(ISNUMBER(O48),ISNUMBER(N48),O48&lt;N48),"Austritt vor Eintritt; ","")&amp;IF(AND(ISNUMBER(AU48),ISNUMBER(AV48),AU48&lt;AV48),"Urlaub unter gesetzl. Minimum; ","")&amp;IF(AND(ISNUMBER(AC48),ISNUMBER(AF48),ABS(N(AC48)-N(AF48))&gt;0.01),"Wochenstd. weichen vom Modell ab; ","")&amp;IF(AND(AI48="Ja",OR(AJ48="",AK48="")),"Kontogrenzen fehlen; ","")&amp;IF(AND(AL48="Mit Gehalt abgegolten (Pauschale)",AM48=""),"Überstunden-Pauschale fehlt; ","")))</f>
        <v/>
      </c>
      <c r="BH48" s="38"/>
    </row>
    <row r="49" customFormat="false" ht="15" hidden="false" customHeight="false" outlineLevel="0" collapsed="false">
      <c r="A49" s="37"/>
      <c r="B49" s="38"/>
      <c r="C49" s="38"/>
      <c r="D49" s="38"/>
      <c r="E49" s="38"/>
      <c r="F49" s="39"/>
      <c r="G49" s="38"/>
      <c r="H49" s="38"/>
      <c r="I49" s="37"/>
      <c r="J49" s="38"/>
      <c r="K49" s="38"/>
      <c r="L49" s="38"/>
      <c r="M49" s="38"/>
      <c r="N49" s="39"/>
      <c r="O49" s="39"/>
      <c r="P49" s="38"/>
      <c r="Q49" s="38"/>
      <c r="R49" s="38"/>
      <c r="S49" s="39"/>
      <c r="T49" s="39"/>
      <c r="U49" s="38"/>
      <c r="V49" s="38"/>
      <c r="W49" s="37"/>
      <c r="X49" s="38"/>
      <c r="Y49" s="38"/>
      <c r="Z49" s="37"/>
      <c r="AA49" s="38"/>
      <c r="AB49" s="38"/>
      <c r="AC49" s="40"/>
      <c r="AD49" s="41"/>
      <c r="AE49" s="42" t="str">
        <f aca="false">IF(OR(A49="",NOT(ISNUMBER(AC49)),NOT(ISNUMBER(AD49))),"",IF(AD49&gt;0,AC49/AD49,""))</f>
        <v/>
      </c>
      <c r="AF49" s="42" t="str">
        <f aca="false">IF(OR(A49="",AB49=""),"",IFERROR(INDEX(Arbeitszeitmodelle!$C$5:$C$34,MATCH(AB49,Arbeitszeitmodelle!$A$5:$A$34,0)),""))</f>
        <v/>
      </c>
      <c r="AG49" s="38"/>
      <c r="AH49" s="38"/>
      <c r="AI49" s="38"/>
      <c r="AJ49" s="41"/>
      <c r="AK49" s="41"/>
      <c r="AL49" s="38"/>
      <c r="AM49" s="41"/>
      <c r="AN49" s="38"/>
      <c r="AO49" s="38"/>
      <c r="AP49" s="38"/>
      <c r="AQ49" s="38"/>
      <c r="AR49" s="41"/>
      <c r="AS49" s="40"/>
      <c r="AT49" s="39"/>
      <c r="AU49" s="41"/>
      <c r="AV49" s="43" t="str">
        <f aca="false">IF(OR(A49="",NOT(ISNUMBER(AD49))),"",P_MinUrlaubWerktage/6*AD49)</f>
        <v/>
      </c>
      <c r="AW49" s="43" t="str">
        <f aca="false">IF(A49="","",IF(M49="Ja",P_ZusatzSB*IF(ISNUMBER(AD49),AD49,5)/5,0))</f>
        <v/>
      </c>
      <c r="AX49" s="41"/>
      <c r="AY49" s="39"/>
      <c r="AZ49" s="43" t="str">
        <f aca="false">IF(OR(A49="",NOT(ISNUMBER(AU49))),"",SUM(AU49,AW49,AX49))</f>
        <v/>
      </c>
      <c r="BA49" s="38"/>
      <c r="BB49" s="44"/>
      <c r="BC49" s="44"/>
      <c r="BD49" s="45" t="str">
        <f aca="false">IF(A49="","",IF(BA49="Stundenlohn",IF(ISNUMBER(BC49),BC49,""),IF(AND(ISNUMBER(BB49),ISNUMBER(AC49)),IF(AC49&gt;0,BB49*12/(AC49*52),""),"")))</f>
        <v/>
      </c>
      <c r="BE49" s="46" t="str">
        <f aca="false">IF(OR(A49="",NOT(ISNUMBER(F49))),"",IFERROR(DATEDIF(F49,P_Stichtag,"Y"),""))</f>
        <v/>
      </c>
      <c r="BF49" s="47" t="str">
        <f aca="false">IF(OR(A49="",NOT(ISNUMBER(BE49))),"",IF(BE49&lt;18,"Ja","Nein"))</f>
        <v/>
      </c>
      <c r="BG49" s="48" t="str">
        <f aca="false">IF(A49="","",IF((IF(OR(B49="",C49="",F49="",N49="",Q49="",AB49="",AC49="",AD49="",AU49=""),"Pflichtfelder fehlen; ","")&amp;IF(AND(ISNUMBER(AC49),AC49&gt;P_MaxWoche),"Wochenstunden &gt; Prüfgrenze; ","")&amp;IF(AND(BF49="Ja",ISNUMBER(AC49),AC49&gt;P_MaxWocheJugend),"Jugendlicher &gt; 40 h/Woche; ","")&amp;IF(AND(ISNUMBER(BD49),BD49&lt;P_Mindestlohn,Q49&lt;&gt;"Auszubildende/r",Q49&lt;&gt;"Praktikant/in"),"Mindestlohn unterschritten?; ","")&amp;IF(AND(Q49="Minijob (geringfügig)",ISNUMBER(BB49),BB49&gt;P_Minijob),"Minijob-Grenze überschritten; ","")&amp;IF(AND(R49="Ja",S49=""),"Befristung ohne Enddatum; ","")&amp;IF(AND(ISNUMBER(O49),ISNUMBER(N49),O49&lt;N49),"Austritt vor Eintritt; ","")&amp;IF(AND(ISNUMBER(AU49),ISNUMBER(AV49),AU49&lt;AV49),"Urlaub unter gesetzl. Minimum; ","")&amp;IF(AND(ISNUMBER(AC49),ISNUMBER(AF49),ABS(N(AC49)-N(AF49))&gt;0.01),"Wochenstd. weichen vom Modell ab; ","")&amp;IF(AND(AI49="Ja",OR(AJ49="",AK49="")),"Kontogrenzen fehlen; ","")&amp;IF(AND(AL49="Mit Gehalt abgegolten (Pauschale)",AM49=""),"Überstunden-Pauschale fehlt; ",""))="","OK",IF(OR(B49="",C49="",F49="",N49="",Q49="",AB49="",AC49="",AD49="",AU49=""),"Pflichtfelder fehlen; ","")&amp;IF(AND(ISNUMBER(AC49),AC49&gt;P_MaxWoche),"Wochenstunden &gt; Prüfgrenze; ","")&amp;IF(AND(BF49="Ja",ISNUMBER(AC49),AC49&gt;P_MaxWocheJugend),"Jugendlicher &gt; 40 h/Woche; ","")&amp;IF(AND(ISNUMBER(BD49),BD49&lt;P_Mindestlohn,Q49&lt;&gt;"Auszubildende/r",Q49&lt;&gt;"Praktikant/in"),"Mindestlohn unterschritten?; ","")&amp;IF(AND(Q49="Minijob (geringfügig)",ISNUMBER(BB49),BB49&gt;P_Minijob),"Minijob-Grenze überschritten; ","")&amp;IF(AND(R49="Ja",S49=""),"Befristung ohne Enddatum; ","")&amp;IF(AND(ISNUMBER(O49),ISNUMBER(N49),O49&lt;N49),"Austritt vor Eintritt; ","")&amp;IF(AND(ISNUMBER(AU49),ISNUMBER(AV49),AU49&lt;AV49),"Urlaub unter gesetzl. Minimum; ","")&amp;IF(AND(ISNUMBER(AC49),ISNUMBER(AF49),ABS(N(AC49)-N(AF49))&gt;0.01),"Wochenstd. weichen vom Modell ab; ","")&amp;IF(AND(AI49="Ja",OR(AJ49="",AK49="")),"Kontogrenzen fehlen; ","")&amp;IF(AND(AL49="Mit Gehalt abgegolten (Pauschale)",AM49=""),"Überstunden-Pauschale fehlt; ","")))</f>
        <v/>
      </c>
      <c r="BH49" s="38"/>
    </row>
    <row r="50" customFormat="false" ht="15" hidden="false" customHeight="false" outlineLevel="0" collapsed="false">
      <c r="A50" s="37"/>
      <c r="B50" s="38"/>
      <c r="C50" s="38"/>
      <c r="D50" s="38"/>
      <c r="E50" s="38"/>
      <c r="F50" s="39"/>
      <c r="G50" s="38"/>
      <c r="H50" s="38"/>
      <c r="I50" s="37"/>
      <c r="J50" s="38"/>
      <c r="K50" s="38"/>
      <c r="L50" s="38"/>
      <c r="M50" s="38"/>
      <c r="N50" s="39"/>
      <c r="O50" s="39"/>
      <c r="P50" s="38"/>
      <c r="Q50" s="38"/>
      <c r="R50" s="38"/>
      <c r="S50" s="39"/>
      <c r="T50" s="39"/>
      <c r="U50" s="38"/>
      <c r="V50" s="38"/>
      <c r="W50" s="37"/>
      <c r="X50" s="38"/>
      <c r="Y50" s="38"/>
      <c r="Z50" s="37"/>
      <c r="AA50" s="38"/>
      <c r="AB50" s="38"/>
      <c r="AC50" s="40"/>
      <c r="AD50" s="41"/>
      <c r="AE50" s="42" t="str">
        <f aca="false">IF(OR(A50="",NOT(ISNUMBER(AC50)),NOT(ISNUMBER(AD50))),"",IF(AD50&gt;0,AC50/AD50,""))</f>
        <v/>
      </c>
      <c r="AF50" s="42" t="str">
        <f aca="false">IF(OR(A50="",AB50=""),"",IFERROR(INDEX(Arbeitszeitmodelle!$C$5:$C$34,MATCH(AB50,Arbeitszeitmodelle!$A$5:$A$34,0)),""))</f>
        <v/>
      </c>
      <c r="AG50" s="38"/>
      <c r="AH50" s="38"/>
      <c r="AI50" s="38"/>
      <c r="AJ50" s="41"/>
      <c r="AK50" s="41"/>
      <c r="AL50" s="38"/>
      <c r="AM50" s="41"/>
      <c r="AN50" s="38"/>
      <c r="AO50" s="38"/>
      <c r="AP50" s="38"/>
      <c r="AQ50" s="38"/>
      <c r="AR50" s="41"/>
      <c r="AS50" s="40"/>
      <c r="AT50" s="39"/>
      <c r="AU50" s="41"/>
      <c r="AV50" s="43" t="str">
        <f aca="false">IF(OR(A50="",NOT(ISNUMBER(AD50))),"",P_MinUrlaubWerktage/6*AD50)</f>
        <v/>
      </c>
      <c r="AW50" s="43" t="str">
        <f aca="false">IF(A50="","",IF(M50="Ja",P_ZusatzSB*IF(ISNUMBER(AD50),AD50,5)/5,0))</f>
        <v/>
      </c>
      <c r="AX50" s="41"/>
      <c r="AY50" s="39"/>
      <c r="AZ50" s="43" t="str">
        <f aca="false">IF(OR(A50="",NOT(ISNUMBER(AU50))),"",SUM(AU50,AW50,AX50))</f>
        <v/>
      </c>
      <c r="BA50" s="38"/>
      <c r="BB50" s="44"/>
      <c r="BC50" s="44"/>
      <c r="BD50" s="45" t="str">
        <f aca="false">IF(A50="","",IF(BA50="Stundenlohn",IF(ISNUMBER(BC50),BC50,""),IF(AND(ISNUMBER(BB50),ISNUMBER(AC50)),IF(AC50&gt;0,BB50*12/(AC50*52),""),"")))</f>
        <v/>
      </c>
      <c r="BE50" s="46" t="str">
        <f aca="false">IF(OR(A50="",NOT(ISNUMBER(F50))),"",IFERROR(DATEDIF(F50,P_Stichtag,"Y"),""))</f>
        <v/>
      </c>
      <c r="BF50" s="47" t="str">
        <f aca="false">IF(OR(A50="",NOT(ISNUMBER(BE50))),"",IF(BE50&lt;18,"Ja","Nein"))</f>
        <v/>
      </c>
      <c r="BG50" s="48" t="str">
        <f aca="false">IF(A50="","",IF((IF(OR(B50="",C50="",F50="",N50="",Q50="",AB50="",AC50="",AD50="",AU50=""),"Pflichtfelder fehlen; ","")&amp;IF(AND(ISNUMBER(AC50),AC50&gt;P_MaxWoche),"Wochenstunden &gt; Prüfgrenze; ","")&amp;IF(AND(BF50="Ja",ISNUMBER(AC50),AC50&gt;P_MaxWocheJugend),"Jugendlicher &gt; 40 h/Woche; ","")&amp;IF(AND(ISNUMBER(BD50),BD50&lt;P_Mindestlohn,Q50&lt;&gt;"Auszubildende/r",Q50&lt;&gt;"Praktikant/in"),"Mindestlohn unterschritten?; ","")&amp;IF(AND(Q50="Minijob (geringfügig)",ISNUMBER(BB50),BB50&gt;P_Minijob),"Minijob-Grenze überschritten; ","")&amp;IF(AND(R50="Ja",S50=""),"Befristung ohne Enddatum; ","")&amp;IF(AND(ISNUMBER(O50),ISNUMBER(N50),O50&lt;N50),"Austritt vor Eintritt; ","")&amp;IF(AND(ISNUMBER(AU50),ISNUMBER(AV50),AU50&lt;AV50),"Urlaub unter gesetzl. Minimum; ","")&amp;IF(AND(ISNUMBER(AC50),ISNUMBER(AF50),ABS(N(AC50)-N(AF50))&gt;0.01),"Wochenstd. weichen vom Modell ab; ","")&amp;IF(AND(AI50="Ja",OR(AJ50="",AK50="")),"Kontogrenzen fehlen; ","")&amp;IF(AND(AL50="Mit Gehalt abgegolten (Pauschale)",AM50=""),"Überstunden-Pauschale fehlt; ",""))="","OK",IF(OR(B50="",C50="",F50="",N50="",Q50="",AB50="",AC50="",AD50="",AU50=""),"Pflichtfelder fehlen; ","")&amp;IF(AND(ISNUMBER(AC50),AC50&gt;P_MaxWoche),"Wochenstunden &gt; Prüfgrenze; ","")&amp;IF(AND(BF50="Ja",ISNUMBER(AC50),AC50&gt;P_MaxWocheJugend),"Jugendlicher &gt; 40 h/Woche; ","")&amp;IF(AND(ISNUMBER(BD50),BD50&lt;P_Mindestlohn,Q50&lt;&gt;"Auszubildende/r",Q50&lt;&gt;"Praktikant/in"),"Mindestlohn unterschritten?; ","")&amp;IF(AND(Q50="Minijob (geringfügig)",ISNUMBER(BB50),BB50&gt;P_Minijob),"Minijob-Grenze überschritten; ","")&amp;IF(AND(R50="Ja",S50=""),"Befristung ohne Enddatum; ","")&amp;IF(AND(ISNUMBER(O50),ISNUMBER(N50),O50&lt;N50),"Austritt vor Eintritt; ","")&amp;IF(AND(ISNUMBER(AU50),ISNUMBER(AV50),AU50&lt;AV50),"Urlaub unter gesetzl. Minimum; ","")&amp;IF(AND(ISNUMBER(AC50),ISNUMBER(AF50),ABS(N(AC50)-N(AF50))&gt;0.01),"Wochenstd. weichen vom Modell ab; ","")&amp;IF(AND(AI50="Ja",OR(AJ50="",AK50="")),"Kontogrenzen fehlen; ","")&amp;IF(AND(AL50="Mit Gehalt abgegolten (Pauschale)",AM50=""),"Überstunden-Pauschale fehlt; ","")))</f>
        <v/>
      </c>
      <c r="BH50" s="38"/>
    </row>
    <row r="51" customFormat="false" ht="15" hidden="false" customHeight="false" outlineLevel="0" collapsed="false">
      <c r="A51" s="37"/>
      <c r="B51" s="38"/>
      <c r="C51" s="38"/>
      <c r="D51" s="38"/>
      <c r="E51" s="38"/>
      <c r="F51" s="39"/>
      <c r="G51" s="38"/>
      <c r="H51" s="38"/>
      <c r="I51" s="37"/>
      <c r="J51" s="38"/>
      <c r="K51" s="38"/>
      <c r="L51" s="38"/>
      <c r="M51" s="38"/>
      <c r="N51" s="39"/>
      <c r="O51" s="39"/>
      <c r="P51" s="38"/>
      <c r="Q51" s="38"/>
      <c r="R51" s="38"/>
      <c r="S51" s="39"/>
      <c r="T51" s="39"/>
      <c r="U51" s="38"/>
      <c r="V51" s="38"/>
      <c r="W51" s="37"/>
      <c r="X51" s="38"/>
      <c r="Y51" s="38"/>
      <c r="Z51" s="37"/>
      <c r="AA51" s="38"/>
      <c r="AB51" s="38"/>
      <c r="AC51" s="40"/>
      <c r="AD51" s="41"/>
      <c r="AE51" s="42" t="str">
        <f aca="false">IF(OR(A51="",NOT(ISNUMBER(AC51)),NOT(ISNUMBER(AD51))),"",IF(AD51&gt;0,AC51/AD51,""))</f>
        <v/>
      </c>
      <c r="AF51" s="42" t="str">
        <f aca="false">IF(OR(A51="",AB51=""),"",IFERROR(INDEX(Arbeitszeitmodelle!$C$5:$C$34,MATCH(AB51,Arbeitszeitmodelle!$A$5:$A$34,0)),""))</f>
        <v/>
      </c>
      <c r="AG51" s="38"/>
      <c r="AH51" s="38"/>
      <c r="AI51" s="38"/>
      <c r="AJ51" s="41"/>
      <c r="AK51" s="41"/>
      <c r="AL51" s="38"/>
      <c r="AM51" s="41"/>
      <c r="AN51" s="38"/>
      <c r="AO51" s="38"/>
      <c r="AP51" s="38"/>
      <c r="AQ51" s="38"/>
      <c r="AR51" s="41"/>
      <c r="AS51" s="40"/>
      <c r="AT51" s="39"/>
      <c r="AU51" s="41"/>
      <c r="AV51" s="43" t="str">
        <f aca="false">IF(OR(A51="",NOT(ISNUMBER(AD51))),"",P_MinUrlaubWerktage/6*AD51)</f>
        <v/>
      </c>
      <c r="AW51" s="43" t="str">
        <f aca="false">IF(A51="","",IF(M51="Ja",P_ZusatzSB*IF(ISNUMBER(AD51),AD51,5)/5,0))</f>
        <v/>
      </c>
      <c r="AX51" s="41"/>
      <c r="AY51" s="39"/>
      <c r="AZ51" s="43" t="str">
        <f aca="false">IF(OR(A51="",NOT(ISNUMBER(AU51))),"",SUM(AU51,AW51,AX51))</f>
        <v/>
      </c>
      <c r="BA51" s="38"/>
      <c r="BB51" s="44"/>
      <c r="BC51" s="44"/>
      <c r="BD51" s="45" t="str">
        <f aca="false">IF(A51="","",IF(BA51="Stundenlohn",IF(ISNUMBER(BC51),BC51,""),IF(AND(ISNUMBER(BB51),ISNUMBER(AC51)),IF(AC51&gt;0,BB51*12/(AC51*52),""),"")))</f>
        <v/>
      </c>
      <c r="BE51" s="46" t="str">
        <f aca="false">IF(OR(A51="",NOT(ISNUMBER(F51))),"",IFERROR(DATEDIF(F51,P_Stichtag,"Y"),""))</f>
        <v/>
      </c>
      <c r="BF51" s="47" t="str">
        <f aca="false">IF(OR(A51="",NOT(ISNUMBER(BE51))),"",IF(BE51&lt;18,"Ja","Nein"))</f>
        <v/>
      </c>
      <c r="BG51" s="48" t="str">
        <f aca="false">IF(A51="","",IF((IF(OR(B51="",C51="",F51="",N51="",Q51="",AB51="",AC51="",AD51="",AU51=""),"Pflichtfelder fehlen; ","")&amp;IF(AND(ISNUMBER(AC51),AC51&gt;P_MaxWoche),"Wochenstunden &gt; Prüfgrenze; ","")&amp;IF(AND(BF51="Ja",ISNUMBER(AC51),AC51&gt;P_MaxWocheJugend),"Jugendlicher &gt; 40 h/Woche; ","")&amp;IF(AND(ISNUMBER(BD51),BD51&lt;P_Mindestlohn,Q51&lt;&gt;"Auszubildende/r",Q51&lt;&gt;"Praktikant/in"),"Mindestlohn unterschritten?; ","")&amp;IF(AND(Q51="Minijob (geringfügig)",ISNUMBER(BB51),BB51&gt;P_Minijob),"Minijob-Grenze überschritten; ","")&amp;IF(AND(R51="Ja",S51=""),"Befristung ohne Enddatum; ","")&amp;IF(AND(ISNUMBER(O51),ISNUMBER(N51),O51&lt;N51),"Austritt vor Eintritt; ","")&amp;IF(AND(ISNUMBER(AU51),ISNUMBER(AV51),AU51&lt;AV51),"Urlaub unter gesetzl. Minimum; ","")&amp;IF(AND(ISNUMBER(AC51),ISNUMBER(AF51),ABS(N(AC51)-N(AF51))&gt;0.01),"Wochenstd. weichen vom Modell ab; ","")&amp;IF(AND(AI51="Ja",OR(AJ51="",AK51="")),"Kontogrenzen fehlen; ","")&amp;IF(AND(AL51="Mit Gehalt abgegolten (Pauschale)",AM51=""),"Überstunden-Pauschale fehlt; ",""))="","OK",IF(OR(B51="",C51="",F51="",N51="",Q51="",AB51="",AC51="",AD51="",AU51=""),"Pflichtfelder fehlen; ","")&amp;IF(AND(ISNUMBER(AC51),AC51&gt;P_MaxWoche),"Wochenstunden &gt; Prüfgrenze; ","")&amp;IF(AND(BF51="Ja",ISNUMBER(AC51),AC51&gt;P_MaxWocheJugend),"Jugendlicher &gt; 40 h/Woche; ","")&amp;IF(AND(ISNUMBER(BD51),BD51&lt;P_Mindestlohn,Q51&lt;&gt;"Auszubildende/r",Q51&lt;&gt;"Praktikant/in"),"Mindestlohn unterschritten?; ","")&amp;IF(AND(Q51="Minijob (geringfügig)",ISNUMBER(BB51),BB51&gt;P_Minijob),"Minijob-Grenze überschritten; ","")&amp;IF(AND(R51="Ja",S51=""),"Befristung ohne Enddatum; ","")&amp;IF(AND(ISNUMBER(O51),ISNUMBER(N51),O51&lt;N51),"Austritt vor Eintritt; ","")&amp;IF(AND(ISNUMBER(AU51),ISNUMBER(AV51),AU51&lt;AV51),"Urlaub unter gesetzl. Minimum; ","")&amp;IF(AND(ISNUMBER(AC51),ISNUMBER(AF51),ABS(N(AC51)-N(AF51))&gt;0.01),"Wochenstd. weichen vom Modell ab; ","")&amp;IF(AND(AI51="Ja",OR(AJ51="",AK51="")),"Kontogrenzen fehlen; ","")&amp;IF(AND(AL51="Mit Gehalt abgegolten (Pauschale)",AM51=""),"Überstunden-Pauschale fehlt; ","")))</f>
        <v/>
      </c>
      <c r="BH51" s="38"/>
    </row>
    <row r="52" customFormat="false" ht="15" hidden="false" customHeight="false" outlineLevel="0" collapsed="false">
      <c r="A52" s="37"/>
      <c r="B52" s="38"/>
      <c r="C52" s="38"/>
      <c r="D52" s="38"/>
      <c r="E52" s="38"/>
      <c r="F52" s="39"/>
      <c r="G52" s="38"/>
      <c r="H52" s="38"/>
      <c r="I52" s="37"/>
      <c r="J52" s="38"/>
      <c r="K52" s="38"/>
      <c r="L52" s="38"/>
      <c r="M52" s="38"/>
      <c r="N52" s="39"/>
      <c r="O52" s="39"/>
      <c r="P52" s="38"/>
      <c r="Q52" s="38"/>
      <c r="R52" s="38"/>
      <c r="S52" s="39"/>
      <c r="T52" s="39"/>
      <c r="U52" s="38"/>
      <c r="V52" s="38"/>
      <c r="W52" s="37"/>
      <c r="X52" s="38"/>
      <c r="Y52" s="38"/>
      <c r="Z52" s="37"/>
      <c r="AA52" s="38"/>
      <c r="AB52" s="38"/>
      <c r="AC52" s="40"/>
      <c r="AD52" s="41"/>
      <c r="AE52" s="42" t="str">
        <f aca="false">IF(OR(A52="",NOT(ISNUMBER(AC52)),NOT(ISNUMBER(AD52))),"",IF(AD52&gt;0,AC52/AD52,""))</f>
        <v/>
      </c>
      <c r="AF52" s="42" t="str">
        <f aca="false">IF(OR(A52="",AB52=""),"",IFERROR(INDEX(Arbeitszeitmodelle!$C$5:$C$34,MATCH(AB52,Arbeitszeitmodelle!$A$5:$A$34,0)),""))</f>
        <v/>
      </c>
      <c r="AG52" s="38"/>
      <c r="AH52" s="38"/>
      <c r="AI52" s="38"/>
      <c r="AJ52" s="41"/>
      <c r="AK52" s="41"/>
      <c r="AL52" s="38"/>
      <c r="AM52" s="41"/>
      <c r="AN52" s="38"/>
      <c r="AO52" s="38"/>
      <c r="AP52" s="38"/>
      <c r="AQ52" s="38"/>
      <c r="AR52" s="41"/>
      <c r="AS52" s="40"/>
      <c r="AT52" s="39"/>
      <c r="AU52" s="41"/>
      <c r="AV52" s="43" t="str">
        <f aca="false">IF(OR(A52="",NOT(ISNUMBER(AD52))),"",P_MinUrlaubWerktage/6*AD52)</f>
        <v/>
      </c>
      <c r="AW52" s="43" t="str">
        <f aca="false">IF(A52="","",IF(M52="Ja",P_ZusatzSB*IF(ISNUMBER(AD52),AD52,5)/5,0))</f>
        <v/>
      </c>
      <c r="AX52" s="41"/>
      <c r="AY52" s="39"/>
      <c r="AZ52" s="43" t="str">
        <f aca="false">IF(OR(A52="",NOT(ISNUMBER(AU52))),"",SUM(AU52,AW52,AX52))</f>
        <v/>
      </c>
      <c r="BA52" s="38"/>
      <c r="BB52" s="44"/>
      <c r="BC52" s="44"/>
      <c r="BD52" s="45" t="str">
        <f aca="false">IF(A52="","",IF(BA52="Stundenlohn",IF(ISNUMBER(BC52),BC52,""),IF(AND(ISNUMBER(BB52),ISNUMBER(AC52)),IF(AC52&gt;0,BB52*12/(AC52*52),""),"")))</f>
        <v/>
      </c>
      <c r="BE52" s="46" t="str">
        <f aca="false">IF(OR(A52="",NOT(ISNUMBER(F52))),"",IFERROR(DATEDIF(F52,P_Stichtag,"Y"),""))</f>
        <v/>
      </c>
      <c r="BF52" s="47" t="str">
        <f aca="false">IF(OR(A52="",NOT(ISNUMBER(BE52))),"",IF(BE52&lt;18,"Ja","Nein"))</f>
        <v/>
      </c>
      <c r="BG52" s="48" t="str">
        <f aca="false">IF(A52="","",IF((IF(OR(B52="",C52="",F52="",N52="",Q52="",AB52="",AC52="",AD52="",AU52=""),"Pflichtfelder fehlen; ","")&amp;IF(AND(ISNUMBER(AC52),AC52&gt;P_MaxWoche),"Wochenstunden &gt; Prüfgrenze; ","")&amp;IF(AND(BF52="Ja",ISNUMBER(AC52),AC52&gt;P_MaxWocheJugend),"Jugendlicher &gt; 40 h/Woche; ","")&amp;IF(AND(ISNUMBER(BD52),BD52&lt;P_Mindestlohn,Q52&lt;&gt;"Auszubildende/r",Q52&lt;&gt;"Praktikant/in"),"Mindestlohn unterschritten?; ","")&amp;IF(AND(Q52="Minijob (geringfügig)",ISNUMBER(BB52),BB52&gt;P_Minijob),"Minijob-Grenze überschritten; ","")&amp;IF(AND(R52="Ja",S52=""),"Befristung ohne Enddatum; ","")&amp;IF(AND(ISNUMBER(O52),ISNUMBER(N52),O52&lt;N52),"Austritt vor Eintritt; ","")&amp;IF(AND(ISNUMBER(AU52),ISNUMBER(AV52),AU52&lt;AV52),"Urlaub unter gesetzl. Minimum; ","")&amp;IF(AND(ISNUMBER(AC52),ISNUMBER(AF52),ABS(N(AC52)-N(AF52))&gt;0.01),"Wochenstd. weichen vom Modell ab; ","")&amp;IF(AND(AI52="Ja",OR(AJ52="",AK52="")),"Kontogrenzen fehlen; ","")&amp;IF(AND(AL52="Mit Gehalt abgegolten (Pauschale)",AM52=""),"Überstunden-Pauschale fehlt; ",""))="","OK",IF(OR(B52="",C52="",F52="",N52="",Q52="",AB52="",AC52="",AD52="",AU52=""),"Pflichtfelder fehlen; ","")&amp;IF(AND(ISNUMBER(AC52),AC52&gt;P_MaxWoche),"Wochenstunden &gt; Prüfgrenze; ","")&amp;IF(AND(BF52="Ja",ISNUMBER(AC52),AC52&gt;P_MaxWocheJugend),"Jugendlicher &gt; 40 h/Woche; ","")&amp;IF(AND(ISNUMBER(BD52),BD52&lt;P_Mindestlohn,Q52&lt;&gt;"Auszubildende/r",Q52&lt;&gt;"Praktikant/in"),"Mindestlohn unterschritten?; ","")&amp;IF(AND(Q52="Minijob (geringfügig)",ISNUMBER(BB52),BB52&gt;P_Minijob),"Minijob-Grenze überschritten; ","")&amp;IF(AND(R52="Ja",S52=""),"Befristung ohne Enddatum; ","")&amp;IF(AND(ISNUMBER(O52),ISNUMBER(N52),O52&lt;N52),"Austritt vor Eintritt; ","")&amp;IF(AND(ISNUMBER(AU52),ISNUMBER(AV52),AU52&lt;AV52),"Urlaub unter gesetzl. Minimum; ","")&amp;IF(AND(ISNUMBER(AC52),ISNUMBER(AF52),ABS(N(AC52)-N(AF52))&gt;0.01),"Wochenstd. weichen vom Modell ab; ","")&amp;IF(AND(AI52="Ja",OR(AJ52="",AK52="")),"Kontogrenzen fehlen; ","")&amp;IF(AND(AL52="Mit Gehalt abgegolten (Pauschale)",AM52=""),"Überstunden-Pauschale fehlt; ","")))</f>
        <v/>
      </c>
      <c r="BH52" s="38"/>
    </row>
    <row r="53" customFormat="false" ht="15" hidden="false" customHeight="false" outlineLevel="0" collapsed="false">
      <c r="A53" s="37"/>
      <c r="B53" s="38"/>
      <c r="C53" s="38"/>
      <c r="D53" s="38"/>
      <c r="E53" s="38"/>
      <c r="F53" s="39"/>
      <c r="G53" s="38"/>
      <c r="H53" s="38"/>
      <c r="I53" s="37"/>
      <c r="J53" s="38"/>
      <c r="K53" s="38"/>
      <c r="L53" s="38"/>
      <c r="M53" s="38"/>
      <c r="N53" s="39"/>
      <c r="O53" s="39"/>
      <c r="P53" s="38"/>
      <c r="Q53" s="38"/>
      <c r="R53" s="38"/>
      <c r="S53" s="39"/>
      <c r="T53" s="39"/>
      <c r="U53" s="38"/>
      <c r="V53" s="38"/>
      <c r="W53" s="37"/>
      <c r="X53" s="38"/>
      <c r="Y53" s="38"/>
      <c r="Z53" s="37"/>
      <c r="AA53" s="38"/>
      <c r="AB53" s="38"/>
      <c r="AC53" s="40"/>
      <c r="AD53" s="41"/>
      <c r="AE53" s="42" t="str">
        <f aca="false">IF(OR(A53="",NOT(ISNUMBER(AC53)),NOT(ISNUMBER(AD53))),"",IF(AD53&gt;0,AC53/AD53,""))</f>
        <v/>
      </c>
      <c r="AF53" s="42" t="str">
        <f aca="false">IF(OR(A53="",AB53=""),"",IFERROR(INDEX(Arbeitszeitmodelle!$C$5:$C$34,MATCH(AB53,Arbeitszeitmodelle!$A$5:$A$34,0)),""))</f>
        <v/>
      </c>
      <c r="AG53" s="38"/>
      <c r="AH53" s="38"/>
      <c r="AI53" s="38"/>
      <c r="AJ53" s="41"/>
      <c r="AK53" s="41"/>
      <c r="AL53" s="38"/>
      <c r="AM53" s="41"/>
      <c r="AN53" s="38"/>
      <c r="AO53" s="38"/>
      <c r="AP53" s="38"/>
      <c r="AQ53" s="38"/>
      <c r="AR53" s="41"/>
      <c r="AS53" s="40"/>
      <c r="AT53" s="39"/>
      <c r="AU53" s="41"/>
      <c r="AV53" s="43" t="str">
        <f aca="false">IF(OR(A53="",NOT(ISNUMBER(AD53))),"",P_MinUrlaubWerktage/6*AD53)</f>
        <v/>
      </c>
      <c r="AW53" s="43" t="str">
        <f aca="false">IF(A53="","",IF(M53="Ja",P_ZusatzSB*IF(ISNUMBER(AD53),AD53,5)/5,0))</f>
        <v/>
      </c>
      <c r="AX53" s="41"/>
      <c r="AY53" s="39"/>
      <c r="AZ53" s="43" t="str">
        <f aca="false">IF(OR(A53="",NOT(ISNUMBER(AU53))),"",SUM(AU53,AW53,AX53))</f>
        <v/>
      </c>
      <c r="BA53" s="38"/>
      <c r="BB53" s="44"/>
      <c r="BC53" s="44"/>
      <c r="BD53" s="45" t="str">
        <f aca="false">IF(A53="","",IF(BA53="Stundenlohn",IF(ISNUMBER(BC53),BC53,""),IF(AND(ISNUMBER(BB53),ISNUMBER(AC53)),IF(AC53&gt;0,BB53*12/(AC53*52),""),"")))</f>
        <v/>
      </c>
      <c r="BE53" s="46" t="str">
        <f aca="false">IF(OR(A53="",NOT(ISNUMBER(F53))),"",IFERROR(DATEDIF(F53,P_Stichtag,"Y"),""))</f>
        <v/>
      </c>
      <c r="BF53" s="47" t="str">
        <f aca="false">IF(OR(A53="",NOT(ISNUMBER(BE53))),"",IF(BE53&lt;18,"Ja","Nein"))</f>
        <v/>
      </c>
      <c r="BG53" s="48" t="str">
        <f aca="false">IF(A53="","",IF((IF(OR(B53="",C53="",F53="",N53="",Q53="",AB53="",AC53="",AD53="",AU53=""),"Pflichtfelder fehlen; ","")&amp;IF(AND(ISNUMBER(AC53),AC53&gt;P_MaxWoche),"Wochenstunden &gt; Prüfgrenze; ","")&amp;IF(AND(BF53="Ja",ISNUMBER(AC53),AC53&gt;P_MaxWocheJugend),"Jugendlicher &gt; 40 h/Woche; ","")&amp;IF(AND(ISNUMBER(BD53),BD53&lt;P_Mindestlohn,Q53&lt;&gt;"Auszubildende/r",Q53&lt;&gt;"Praktikant/in"),"Mindestlohn unterschritten?; ","")&amp;IF(AND(Q53="Minijob (geringfügig)",ISNUMBER(BB53),BB53&gt;P_Minijob),"Minijob-Grenze überschritten; ","")&amp;IF(AND(R53="Ja",S53=""),"Befristung ohne Enddatum; ","")&amp;IF(AND(ISNUMBER(O53),ISNUMBER(N53),O53&lt;N53),"Austritt vor Eintritt; ","")&amp;IF(AND(ISNUMBER(AU53),ISNUMBER(AV53),AU53&lt;AV53),"Urlaub unter gesetzl. Minimum; ","")&amp;IF(AND(ISNUMBER(AC53),ISNUMBER(AF53),ABS(N(AC53)-N(AF53))&gt;0.01),"Wochenstd. weichen vom Modell ab; ","")&amp;IF(AND(AI53="Ja",OR(AJ53="",AK53="")),"Kontogrenzen fehlen; ","")&amp;IF(AND(AL53="Mit Gehalt abgegolten (Pauschale)",AM53=""),"Überstunden-Pauschale fehlt; ",""))="","OK",IF(OR(B53="",C53="",F53="",N53="",Q53="",AB53="",AC53="",AD53="",AU53=""),"Pflichtfelder fehlen; ","")&amp;IF(AND(ISNUMBER(AC53),AC53&gt;P_MaxWoche),"Wochenstunden &gt; Prüfgrenze; ","")&amp;IF(AND(BF53="Ja",ISNUMBER(AC53),AC53&gt;P_MaxWocheJugend),"Jugendlicher &gt; 40 h/Woche; ","")&amp;IF(AND(ISNUMBER(BD53),BD53&lt;P_Mindestlohn,Q53&lt;&gt;"Auszubildende/r",Q53&lt;&gt;"Praktikant/in"),"Mindestlohn unterschritten?; ","")&amp;IF(AND(Q53="Minijob (geringfügig)",ISNUMBER(BB53),BB53&gt;P_Minijob),"Minijob-Grenze überschritten; ","")&amp;IF(AND(R53="Ja",S53=""),"Befristung ohne Enddatum; ","")&amp;IF(AND(ISNUMBER(O53),ISNUMBER(N53),O53&lt;N53),"Austritt vor Eintritt; ","")&amp;IF(AND(ISNUMBER(AU53),ISNUMBER(AV53),AU53&lt;AV53),"Urlaub unter gesetzl. Minimum; ","")&amp;IF(AND(ISNUMBER(AC53),ISNUMBER(AF53),ABS(N(AC53)-N(AF53))&gt;0.01),"Wochenstd. weichen vom Modell ab; ","")&amp;IF(AND(AI53="Ja",OR(AJ53="",AK53="")),"Kontogrenzen fehlen; ","")&amp;IF(AND(AL53="Mit Gehalt abgegolten (Pauschale)",AM53=""),"Überstunden-Pauschale fehlt; ","")))</f>
        <v/>
      </c>
      <c r="BH53" s="38"/>
    </row>
    <row r="54" customFormat="false" ht="15" hidden="false" customHeight="false" outlineLevel="0" collapsed="false">
      <c r="A54" s="37"/>
      <c r="B54" s="38"/>
      <c r="C54" s="38"/>
      <c r="D54" s="38"/>
      <c r="E54" s="38"/>
      <c r="F54" s="39"/>
      <c r="G54" s="38"/>
      <c r="H54" s="38"/>
      <c r="I54" s="37"/>
      <c r="J54" s="38"/>
      <c r="K54" s="38"/>
      <c r="L54" s="38"/>
      <c r="M54" s="38"/>
      <c r="N54" s="39"/>
      <c r="O54" s="39"/>
      <c r="P54" s="38"/>
      <c r="Q54" s="38"/>
      <c r="R54" s="38"/>
      <c r="S54" s="39"/>
      <c r="T54" s="39"/>
      <c r="U54" s="38"/>
      <c r="V54" s="38"/>
      <c r="W54" s="37"/>
      <c r="X54" s="38"/>
      <c r="Y54" s="38"/>
      <c r="Z54" s="37"/>
      <c r="AA54" s="38"/>
      <c r="AB54" s="38"/>
      <c r="AC54" s="40"/>
      <c r="AD54" s="41"/>
      <c r="AE54" s="42" t="str">
        <f aca="false">IF(OR(A54="",NOT(ISNUMBER(AC54)),NOT(ISNUMBER(AD54))),"",IF(AD54&gt;0,AC54/AD54,""))</f>
        <v/>
      </c>
      <c r="AF54" s="42" t="str">
        <f aca="false">IF(OR(A54="",AB54=""),"",IFERROR(INDEX(Arbeitszeitmodelle!$C$5:$C$34,MATCH(AB54,Arbeitszeitmodelle!$A$5:$A$34,0)),""))</f>
        <v/>
      </c>
      <c r="AG54" s="38"/>
      <c r="AH54" s="38"/>
      <c r="AI54" s="38"/>
      <c r="AJ54" s="41"/>
      <c r="AK54" s="41"/>
      <c r="AL54" s="38"/>
      <c r="AM54" s="41"/>
      <c r="AN54" s="38"/>
      <c r="AO54" s="38"/>
      <c r="AP54" s="38"/>
      <c r="AQ54" s="38"/>
      <c r="AR54" s="41"/>
      <c r="AS54" s="40"/>
      <c r="AT54" s="39"/>
      <c r="AU54" s="41"/>
      <c r="AV54" s="43" t="str">
        <f aca="false">IF(OR(A54="",NOT(ISNUMBER(AD54))),"",P_MinUrlaubWerktage/6*AD54)</f>
        <v/>
      </c>
      <c r="AW54" s="43" t="str">
        <f aca="false">IF(A54="","",IF(M54="Ja",P_ZusatzSB*IF(ISNUMBER(AD54),AD54,5)/5,0))</f>
        <v/>
      </c>
      <c r="AX54" s="41"/>
      <c r="AY54" s="39"/>
      <c r="AZ54" s="43" t="str">
        <f aca="false">IF(OR(A54="",NOT(ISNUMBER(AU54))),"",SUM(AU54,AW54,AX54))</f>
        <v/>
      </c>
      <c r="BA54" s="38"/>
      <c r="BB54" s="44"/>
      <c r="BC54" s="44"/>
      <c r="BD54" s="45" t="str">
        <f aca="false">IF(A54="","",IF(BA54="Stundenlohn",IF(ISNUMBER(BC54),BC54,""),IF(AND(ISNUMBER(BB54),ISNUMBER(AC54)),IF(AC54&gt;0,BB54*12/(AC54*52),""),"")))</f>
        <v/>
      </c>
      <c r="BE54" s="46" t="str">
        <f aca="false">IF(OR(A54="",NOT(ISNUMBER(F54))),"",IFERROR(DATEDIF(F54,P_Stichtag,"Y"),""))</f>
        <v/>
      </c>
      <c r="BF54" s="47" t="str">
        <f aca="false">IF(OR(A54="",NOT(ISNUMBER(BE54))),"",IF(BE54&lt;18,"Ja","Nein"))</f>
        <v/>
      </c>
      <c r="BG54" s="48" t="str">
        <f aca="false">IF(A54="","",IF((IF(OR(B54="",C54="",F54="",N54="",Q54="",AB54="",AC54="",AD54="",AU54=""),"Pflichtfelder fehlen; ","")&amp;IF(AND(ISNUMBER(AC54),AC54&gt;P_MaxWoche),"Wochenstunden &gt; Prüfgrenze; ","")&amp;IF(AND(BF54="Ja",ISNUMBER(AC54),AC54&gt;P_MaxWocheJugend),"Jugendlicher &gt; 40 h/Woche; ","")&amp;IF(AND(ISNUMBER(BD54),BD54&lt;P_Mindestlohn,Q54&lt;&gt;"Auszubildende/r",Q54&lt;&gt;"Praktikant/in"),"Mindestlohn unterschritten?; ","")&amp;IF(AND(Q54="Minijob (geringfügig)",ISNUMBER(BB54),BB54&gt;P_Minijob),"Minijob-Grenze überschritten; ","")&amp;IF(AND(R54="Ja",S54=""),"Befristung ohne Enddatum; ","")&amp;IF(AND(ISNUMBER(O54),ISNUMBER(N54),O54&lt;N54),"Austritt vor Eintritt; ","")&amp;IF(AND(ISNUMBER(AU54),ISNUMBER(AV54),AU54&lt;AV54),"Urlaub unter gesetzl. Minimum; ","")&amp;IF(AND(ISNUMBER(AC54),ISNUMBER(AF54),ABS(N(AC54)-N(AF54))&gt;0.01),"Wochenstd. weichen vom Modell ab; ","")&amp;IF(AND(AI54="Ja",OR(AJ54="",AK54="")),"Kontogrenzen fehlen; ","")&amp;IF(AND(AL54="Mit Gehalt abgegolten (Pauschale)",AM54=""),"Überstunden-Pauschale fehlt; ",""))="","OK",IF(OR(B54="",C54="",F54="",N54="",Q54="",AB54="",AC54="",AD54="",AU54=""),"Pflichtfelder fehlen; ","")&amp;IF(AND(ISNUMBER(AC54),AC54&gt;P_MaxWoche),"Wochenstunden &gt; Prüfgrenze; ","")&amp;IF(AND(BF54="Ja",ISNUMBER(AC54),AC54&gt;P_MaxWocheJugend),"Jugendlicher &gt; 40 h/Woche; ","")&amp;IF(AND(ISNUMBER(BD54),BD54&lt;P_Mindestlohn,Q54&lt;&gt;"Auszubildende/r",Q54&lt;&gt;"Praktikant/in"),"Mindestlohn unterschritten?; ","")&amp;IF(AND(Q54="Minijob (geringfügig)",ISNUMBER(BB54),BB54&gt;P_Minijob),"Minijob-Grenze überschritten; ","")&amp;IF(AND(R54="Ja",S54=""),"Befristung ohne Enddatum; ","")&amp;IF(AND(ISNUMBER(O54),ISNUMBER(N54),O54&lt;N54),"Austritt vor Eintritt; ","")&amp;IF(AND(ISNUMBER(AU54),ISNUMBER(AV54),AU54&lt;AV54),"Urlaub unter gesetzl. Minimum; ","")&amp;IF(AND(ISNUMBER(AC54),ISNUMBER(AF54),ABS(N(AC54)-N(AF54))&gt;0.01),"Wochenstd. weichen vom Modell ab; ","")&amp;IF(AND(AI54="Ja",OR(AJ54="",AK54="")),"Kontogrenzen fehlen; ","")&amp;IF(AND(AL54="Mit Gehalt abgegolten (Pauschale)",AM54=""),"Überstunden-Pauschale fehlt; ","")))</f>
        <v/>
      </c>
      <c r="BH54" s="38"/>
    </row>
    <row r="55" customFormat="false" ht="15" hidden="false" customHeight="false" outlineLevel="0" collapsed="false">
      <c r="A55" s="37"/>
      <c r="B55" s="38"/>
      <c r="C55" s="38"/>
      <c r="D55" s="38"/>
      <c r="E55" s="38"/>
      <c r="F55" s="39"/>
      <c r="G55" s="38"/>
      <c r="H55" s="38"/>
      <c r="I55" s="37"/>
      <c r="J55" s="38"/>
      <c r="K55" s="38"/>
      <c r="L55" s="38"/>
      <c r="M55" s="38"/>
      <c r="N55" s="39"/>
      <c r="O55" s="39"/>
      <c r="P55" s="38"/>
      <c r="Q55" s="38"/>
      <c r="R55" s="38"/>
      <c r="S55" s="39"/>
      <c r="T55" s="39"/>
      <c r="U55" s="38"/>
      <c r="V55" s="38"/>
      <c r="W55" s="37"/>
      <c r="X55" s="38"/>
      <c r="Y55" s="38"/>
      <c r="Z55" s="37"/>
      <c r="AA55" s="38"/>
      <c r="AB55" s="38"/>
      <c r="AC55" s="40"/>
      <c r="AD55" s="41"/>
      <c r="AE55" s="42" t="str">
        <f aca="false">IF(OR(A55="",NOT(ISNUMBER(AC55)),NOT(ISNUMBER(AD55))),"",IF(AD55&gt;0,AC55/AD55,""))</f>
        <v/>
      </c>
      <c r="AF55" s="42" t="str">
        <f aca="false">IF(OR(A55="",AB55=""),"",IFERROR(INDEX(Arbeitszeitmodelle!$C$5:$C$34,MATCH(AB55,Arbeitszeitmodelle!$A$5:$A$34,0)),""))</f>
        <v/>
      </c>
      <c r="AG55" s="38"/>
      <c r="AH55" s="38"/>
      <c r="AI55" s="38"/>
      <c r="AJ55" s="41"/>
      <c r="AK55" s="41"/>
      <c r="AL55" s="38"/>
      <c r="AM55" s="41"/>
      <c r="AN55" s="38"/>
      <c r="AO55" s="38"/>
      <c r="AP55" s="38"/>
      <c r="AQ55" s="38"/>
      <c r="AR55" s="41"/>
      <c r="AS55" s="40"/>
      <c r="AT55" s="39"/>
      <c r="AU55" s="41"/>
      <c r="AV55" s="43" t="str">
        <f aca="false">IF(OR(A55="",NOT(ISNUMBER(AD55))),"",P_MinUrlaubWerktage/6*AD55)</f>
        <v/>
      </c>
      <c r="AW55" s="43" t="str">
        <f aca="false">IF(A55="","",IF(M55="Ja",P_ZusatzSB*IF(ISNUMBER(AD55),AD55,5)/5,0))</f>
        <v/>
      </c>
      <c r="AX55" s="41"/>
      <c r="AY55" s="39"/>
      <c r="AZ55" s="43" t="str">
        <f aca="false">IF(OR(A55="",NOT(ISNUMBER(AU55))),"",SUM(AU55,AW55,AX55))</f>
        <v/>
      </c>
      <c r="BA55" s="38"/>
      <c r="BB55" s="44"/>
      <c r="BC55" s="44"/>
      <c r="BD55" s="45" t="str">
        <f aca="false">IF(A55="","",IF(BA55="Stundenlohn",IF(ISNUMBER(BC55),BC55,""),IF(AND(ISNUMBER(BB55),ISNUMBER(AC55)),IF(AC55&gt;0,BB55*12/(AC55*52),""),"")))</f>
        <v/>
      </c>
      <c r="BE55" s="46" t="str">
        <f aca="false">IF(OR(A55="",NOT(ISNUMBER(F55))),"",IFERROR(DATEDIF(F55,P_Stichtag,"Y"),""))</f>
        <v/>
      </c>
      <c r="BF55" s="47" t="str">
        <f aca="false">IF(OR(A55="",NOT(ISNUMBER(BE55))),"",IF(BE55&lt;18,"Ja","Nein"))</f>
        <v/>
      </c>
      <c r="BG55" s="48" t="str">
        <f aca="false">IF(A55="","",IF((IF(OR(B55="",C55="",F55="",N55="",Q55="",AB55="",AC55="",AD55="",AU55=""),"Pflichtfelder fehlen; ","")&amp;IF(AND(ISNUMBER(AC55),AC55&gt;P_MaxWoche),"Wochenstunden &gt; Prüfgrenze; ","")&amp;IF(AND(BF55="Ja",ISNUMBER(AC55),AC55&gt;P_MaxWocheJugend),"Jugendlicher &gt; 40 h/Woche; ","")&amp;IF(AND(ISNUMBER(BD55),BD55&lt;P_Mindestlohn,Q55&lt;&gt;"Auszubildende/r",Q55&lt;&gt;"Praktikant/in"),"Mindestlohn unterschritten?; ","")&amp;IF(AND(Q55="Minijob (geringfügig)",ISNUMBER(BB55),BB55&gt;P_Minijob),"Minijob-Grenze überschritten; ","")&amp;IF(AND(R55="Ja",S55=""),"Befristung ohne Enddatum; ","")&amp;IF(AND(ISNUMBER(O55),ISNUMBER(N55),O55&lt;N55),"Austritt vor Eintritt; ","")&amp;IF(AND(ISNUMBER(AU55),ISNUMBER(AV55),AU55&lt;AV55),"Urlaub unter gesetzl. Minimum; ","")&amp;IF(AND(ISNUMBER(AC55),ISNUMBER(AF55),ABS(N(AC55)-N(AF55))&gt;0.01),"Wochenstd. weichen vom Modell ab; ","")&amp;IF(AND(AI55="Ja",OR(AJ55="",AK55="")),"Kontogrenzen fehlen; ","")&amp;IF(AND(AL55="Mit Gehalt abgegolten (Pauschale)",AM55=""),"Überstunden-Pauschale fehlt; ",""))="","OK",IF(OR(B55="",C55="",F55="",N55="",Q55="",AB55="",AC55="",AD55="",AU55=""),"Pflichtfelder fehlen; ","")&amp;IF(AND(ISNUMBER(AC55),AC55&gt;P_MaxWoche),"Wochenstunden &gt; Prüfgrenze; ","")&amp;IF(AND(BF55="Ja",ISNUMBER(AC55),AC55&gt;P_MaxWocheJugend),"Jugendlicher &gt; 40 h/Woche; ","")&amp;IF(AND(ISNUMBER(BD55),BD55&lt;P_Mindestlohn,Q55&lt;&gt;"Auszubildende/r",Q55&lt;&gt;"Praktikant/in"),"Mindestlohn unterschritten?; ","")&amp;IF(AND(Q55="Minijob (geringfügig)",ISNUMBER(BB55),BB55&gt;P_Minijob),"Minijob-Grenze überschritten; ","")&amp;IF(AND(R55="Ja",S55=""),"Befristung ohne Enddatum; ","")&amp;IF(AND(ISNUMBER(O55),ISNUMBER(N55),O55&lt;N55),"Austritt vor Eintritt; ","")&amp;IF(AND(ISNUMBER(AU55),ISNUMBER(AV55),AU55&lt;AV55),"Urlaub unter gesetzl. Minimum; ","")&amp;IF(AND(ISNUMBER(AC55),ISNUMBER(AF55),ABS(N(AC55)-N(AF55))&gt;0.01),"Wochenstd. weichen vom Modell ab; ","")&amp;IF(AND(AI55="Ja",OR(AJ55="",AK55="")),"Kontogrenzen fehlen; ","")&amp;IF(AND(AL55="Mit Gehalt abgegolten (Pauschale)",AM55=""),"Überstunden-Pauschale fehlt; ","")))</f>
        <v/>
      </c>
      <c r="BH55" s="38"/>
    </row>
    <row r="56" customFormat="false" ht="15" hidden="false" customHeight="false" outlineLevel="0" collapsed="false">
      <c r="A56" s="37"/>
      <c r="B56" s="38"/>
      <c r="C56" s="38"/>
      <c r="D56" s="38"/>
      <c r="E56" s="38"/>
      <c r="F56" s="39"/>
      <c r="G56" s="38"/>
      <c r="H56" s="38"/>
      <c r="I56" s="37"/>
      <c r="J56" s="38"/>
      <c r="K56" s="38"/>
      <c r="L56" s="38"/>
      <c r="M56" s="38"/>
      <c r="N56" s="39"/>
      <c r="O56" s="39"/>
      <c r="P56" s="38"/>
      <c r="Q56" s="38"/>
      <c r="R56" s="38"/>
      <c r="S56" s="39"/>
      <c r="T56" s="39"/>
      <c r="U56" s="38"/>
      <c r="V56" s="38"/>
      <c r="W56" s="37"/>
      <c r="X56" s="38"/>
      <c r="Y56" s="38"/>
      <c r="Z56" s="37"/>
      <c r="AA56" s="38"/>
      <c r="AB56" s="38"/>
      <c r="AC56" s="40"/>
      <c r="AD56" s="41"/>
      <c r="AE56" s="42" t="str">
        <f aca="false">IF(OR(A56="",NOT(ISNUMBER(AC56)),NOT(ISNUMBER(AD56))),"",IF(AD56&gt;0,AC56/AD56,""))</f>
        <v/>
      </c>
      <c r="AF56" s="42" t="str">
        <f aca="false">IF(OR(A56="",AB56=""),"",IFERROR(INDEX(Arbeitszeitmodelle!$C$5:$C$34,MATCH(AB56,Arbeitszeitmodelle!$A$5:$A$34,0)),""))</f>
        <v/>
      </c>
      <c r="AG56" s="38"/>
      <c r="AH56" s="38"/>
      <c r="AI56" s="38"/>
      <c r="AJ56" s="41"/>
      <c r="AK56" s="41"/>
      <c r="AL56" s="38"/>
      <c r="AM56" s="41"/>
      <c r="AN56" s="38"/>
      <c r="AO56" s="38"/>
      <c r="AP56" s="38"/>
      <c r="AQ56" s="38"/>
      <c r="AR56" s="41"/>
      <c r="AS56" s="40"/>
      <c r="AT56" s="39"/>
      <c r="AU56" s="41"/>
      <c r="AV56" s="43" t="str">
        <f aca="false">IF(OR(A56="",NOT(ISNUMBER(AD56))),"",P_MinUrlaubWerktage/6*AD56)</f>
        <v/>
      </c>
      <c r="AW56" s="43" t="str">
        <f aca="false">IF(A56="","",IF(M56="Ja",P_ZusatzSB*IF(ISNUMBER(AD56),AD56,5)/5,0))</f>
        <v/>
      </c>
      <c r="AX56" s="41"/>
      <c r="AY56" s="39"/>
      <c r="AZ56" s="43" t="str">
        <f aca="false">IF(OR(A56="",NOT(ISNUMBER(AU56))),"",SUM(AU56,AW56,AX56))</f>
        <v/>
      </c>
      <c r="BA56" s="38"/>
      <c r="BB56" s="44"/>
      <c r="BC56" s="44"/>
      <c r="BD56" s="45" t="str">
        <f aca="false">IF(A56="","",IF(BA56="Stundenlohn",IF(ISNUMBER(BC56),BC56,""),IF(AND(ISNUMBER(BB56),ISNUMBER(AC56)),IF(AC56&gt;0,BB56*12/(AC56*52),""),"")))</f>
        <v/>
      </c>
      <c r="BE56" s="46" t="str">
        <f aca="false">IF(OR(A56="",NOT(ISNUMBER(F56))),"",IFERROR(DATEDIF(F56,P_Stichtag,"Y"),""))</f>
        <v/>
      </c>
      <c r="BF56" s="47" t="str">
        <f aca="false">IF(OR(A56="",NOT(ISNUMBER(BE56))),"",IF(BE56&lt;18,"Ja","Nein"))</f>
        <v/>
      </c>
      <c r="BG56" s="48" t="str">
        <f aca="false">IF(A56="","",IF((IF(OR(B56="",C56="",F56="",N56="",Q56="",AB56="",AC56="",AD56="",AU56=""),"Pflichtfelder fehlen; ","")&amp;IF(AND(ISNUMBER(AC56),AC56&gt;P_MaxWoche),"Wochenstunden &gt; Prüfgrenze; ","")&amp;IF(AND(BF56="Ja",ISNUMBER(AC56),AC56&gt;P_MaxWocheJugend),"Jugendlicher &gt; 40 h/Woche; ","")&amp;IF(AND(ISNUMBER(BD56),BD56&lt;P_Mindestlohn,Q56&lt;&gt;"Auszubildende/r",Q56&lt;&gt;"Praktikant/in"),"Mindestlohn unterschritten?; ","")&amp;IF(AND(Q56="Minijob (geringfügig)",ISNUMBER(BB56),BB56&gt;P_Minijob),"Minijob-Grenze überschritten; ","")&amp;IF(AND(R56="Ja",S56=""),"Befristung ohne Enddatum; ","")&amp;IF(AND(ISNUMBER(O56),ISNUMBER(N56),O56&lt;N56),"Austritt vor Eintritt; ","")&amp;IF(AND(ISNUMBER(AU56),ISNUMBER(AV56),AU56&lt;AV56),"Urlaub unter gesetzl. Minimum; ","")&amp;IF(AND(ISNUMBER(AC56),ISNUMBER(AF56),ABS(N(AC56)-N(AF56))&gt;0.01),"Wochenstd. weichen vom Modell ab; ","")&amp;IF(AND(AI56="Ja",OR(AJ56="",AK56="")),"Kontogrenzen fehlen; ","")&amp;IF(AND(AL56="Mit Gehalt abgegolten (Pauschale)",AM56=""),"Überstunden-Pauschale fehlt; ",""))="","OK",IF(OR(B56="",C56="",F56="",N56="",Q56="",AB56="",AC56="",AD56="",AU56=""),"Pflichtfelder fehlen; ","")&amp;IF(AND(ISNUMBER(AC56),AC56&gt;P_MaxWoche),"Wochenstunden &gt; Prüfgrenze; ","")&amp;IF(AND(BF56="Ja",ISNUMBER(AC56),AC56&gt;P_MaxWocheJugend),"Jugendlicher &gt; 40 h/Woche; ","")&amp;IF(AND(ISNUMBER(BD56),BD56&lt;P_Mindestlohn,Q56&lt;&gt;"Auszubildende/r",Q56&lt;&gt;"Praktikant/in"),"Mindestlohn unterschritten?; ","")&amp;IF(AND(Q56="Minijob (geringfügig)",ISNUMBER(BB56),BB56&gt;P_Minijob),"Minijob-Grenze überschritten; ","")&amp;IF(AND(R56="Ja",S56=""),"Befristung ohne Enddatum; ","")&amp;IF(AND(ISNUMBER(O56),ISNUMBER(N56),O56&lt;N56),"Austritt vor Eintritt; ","")&amp;IF(AND(ISNUMBER(AU56),ISNUMBER(AV56),AU56&lt;AV56),"Urlaub unter gesetzl. Minimum; ","")&amp;IF(AND(ISNUMBER(AC56),ISNUMBER(AF56),ABS(N(AC56)-N(AF56))&gt;0.01),"Wochenstd. weichen vom Modell ab; ","")&amp;IF(AND(AI56="Ja",OR(AJ56="",AK56="")),"Kontogrenzen fehlen; ","")&amp;IF(AND(AL56="Mit Gehalt abgegolten (Pauschale)",AM56=""),"Überstunden-Pauschale fehlt; ","")))</f>
        <v/>
      </c>
      <c r="BH56" s="38"/>
    </row>
    <row r="57" customFormat="false" ht="15" hidden="false" customHeight="false" outlineLevel="0" collapsed="false">
      <c r="A57" s="37"/>
      <c r="B57" s="38"/>
      <c r="C57" s="38"/>
      <c r="D57" s="38"/>
      <c r="E57" s="38"/>
      <c r="F57" s="39"/>
      <c r="G57" s="38"/>
      <c r="H57" s="38"/>
      <c r="I57" s="37"/>
      <c r="J57" s="38"/>
      <c r="K57" s="38"/>
      <c r="L57" s="38"/>
      <c r="M57" s="38"/>
      <c r="N57" s="39"/>
      <c r="O57" s="39"/>
      <c r="P57" s="38"/>
      <c r="Q57" s="38"/>
      <c r="R57" s="38"/>
      <c r="S57" s="39"/>
      <c r="T57" s="39"/>
      <c r="U57" s="38"/>
      <c r="V57" s="38"/>
      <c r="W57" s="37"/>
      <c r="X57" s="38"/>
      <c r="Y57" s="38"/>
      <c r="Z57" s="37"/>
      <c r="AA57" s="38"/>
      <c r="AB57" s="38"/>
      <c r="AC57" s="40"/>
      <c r="AD57" s="41"/>
      <c r="AE57" s="42" t="str">
        <f aca="false">IF(OR(A57="",NOT(ISNUMBER(AC57)),NOT(ISNUMBER(AD57))),"",IF(AD57&gt;0,AC57/AD57,""))</f>
        <v/>
      </c>
      <c r="AF57" s="42" t="str">
        <f aca="false">IF(OR(A57="",AB57=""),"",IFERROR(INDEX(Arbeitszeitmodelle!$C$5:$C$34,MATCH(AB57,Arbeitszeitmodelle!$A$5:$A$34,0)),""))</f>
        <v/>
      </c>
      <c r="AG57" s="38"/>
      <c r="AH57" s="38"/>
      <c r="AI57" s="38"/>
      <c r="AJ57" s="41"/>
      <c r="AK57" s="41"/>
      <c r="AL57" s="38"/>
      <c r="AM57" s="41"/>
      <c r="AN57" s="38"/>
      <c r="AO57" s="38"/>
      <c r="AP57" s="38"/>
      <c r="AQ57" s="38"/>
      <c r="AR57" s="41"/>
      <c r="AS57" s="40"/>
      <c r="AT57" s="39"/>
      <c r="AU57" s="41"/>
      <c r="AV57" s="43" t="str">
        <f aca="false">IF(OR(A57="",NOT(ISNUMBER(AD57))),"",P_MinUrlaubWerktage/6*AD57)</f>
        <v/>
      </c>
      <c r="AW57" s="43" t="str">
        <f aca="false">IF(A57="","",IF(M57="Ja",P_ZusatzSB*IF(ISNUMBER(AD57),AD57,5)/5,0))</f>
        <v/>
      </c>
      <c r="AX57" s="41"/>
      <c r="AY57" s="39"/>
      <c r="AZ57" s="43" t="str">
        <f aca="false">IF(OR(A57="",NOT(ISNUMBER(AU57))),"",SUM(AU57,AW57,AX57))</f>
        <v/>
      </c>
      <c r="BA57" s="38"/>
      <c r="BB57" s="44"/>
      <c r="BC57" s="44"/>
      <c r="BD57" s="45" t="str">
        <f aca="false">IF(A57="","",IF(BA57="Stundenlohn",IF(ISNUMBER(BC57),BC57,""),IF(AND(ISNUMBER(BB57),ISNUMBER(AC57)),IF(AC57&gt;0,BB57*12/(AC57*52),""),"")))</f>
        <v/>
      </c>
      <c r="BE57" s="46" t="str">
        <f aca="false">IF(OR(A57="",NOT(ISNUMBER(F57))),"",IFERROR(DATEDIF(F57,P_Stichtag,"Y"),""))</f>
        <v/>
      </c>
      <c r="BF57" s="47" t="str">
        <f aca="false">IF(OR(A57="",NOT(ISNUMBER(BE57))),"",IF(BE57&lt;18,"Ja","Nein"))</f>
        <v/>
      </c>
      <c r="BG57" s="48" t="str">
        <f aca="false">IF(A57="","",IF((IF(OR(B57="",C57="",F57="",N57="",Q57="",AB57="",AC57="",AD57="",AU57=""),"Pflichtfelder fehlen; ","")&amp;IF(AND(ISNUMBER(AC57),AC57&gt;P_MaxWoche),"Wochenstunden &gt; Prüfgrenze; ","")&amp;IF(AND(BF57="Ja",ISNUMBER(AC57),AC57&gt;P_MaxWocheJugend),"Jugendlicher &gt; 40 h/Woche; ","")&amp;IF(AND(ISNUMBER(BD57),BD57&lt;P_Mindestlohn,Q57&lt;&gt;"Auszubildende/r",Q57&lt;&gt;"Praktikant/in"),"Mindestlohn unterschritten?; ","")&amp;IF(AND(Q57="Minijob (geringfügig)",ISNUMBER(BB57),BB57&gt;P_Minijob),"Minijob-Grenze überschritten; ","")&amp;IF(AND(R57="Ja",S57=""),"Befristung ohne Enddatum; ","")&amp;IF(AND(ISNUMBER(O57),ISNUMBER(N57),O57&lt;N57),"Austritt vor Eintritt; ","")&amp;IF(AND(ISNUMBER(AU57),ISNUMBER(AV57),AU57&lt;AV57),"Urlaub unter gesetzl. Minimum; ","")&amp;IF(AND(ISNUMBER(AC57),ISNUMBER(AF57),ABS(N(AC57)-N(AF57))&gt;0.01),"Wochenstd. weichen vom Modell ab; ","")&amp;IF(AND(AI57="Ja",OR(AJ57="",AK57="")),"Kontogrenzen fehlen; ","")&amp;IF(AND(AL57="Mit Gehalt abgegolten (Pauschale)",AM57=""),"Überstunden-Pauschale fehlt; ",""))="","OK",IF(OR(B57="",C57="",F57="",N57="",Q57="",AB57="",AC57="",AD57="",AU57=""),"Pflichtfelder fehlen; ","")&amp;IF(AND(ISNUMBER(AC57),AC57&gt;P_MaxWoche),"Wochenstunden &gt; Prüfgrenze; ","")&amp;IF(AND(BF57="Ja",ISNUMBER(AC57),AC57&gt;P_MaxWocheJugend),"Jugendlicher &gt; 40 h/Woche; ","")&amp;IF(AND(ISNUMBER(BD57),BD57&lt;P_Mindestlohn,Q57&lt;&gt;"Auszubildende/r",Q57&lt;&gt;"Praktikant/in"),"Mindestlohn unterschritten?; ","")&amp;IF(AND(Q57="Minijob (geringfügig)",ISNUMBER(BB57),BB57&gt;P_Minijob),"Minijob-Grenze überschritten; ","")&amp;IF(AND(R57="Ja",S57=""),"Befristung ohne Enddatum; ","")&amp;IF(AND(ISNUMBER(O57),ISNUMBER(N57),O57&lt;N57),"Austritt vor Eintritt; ","")&amp;IF(AND(ISNUMBER(AU57),ISNUMBER(AV57),AU57&lt;AV57),"Urlaub unter gesetzl. Minimum; ","")&amp;IF(AND(ISNUMBER(AC57),ISNUMBER(AF57),ABS(N(AC57)-N(AF57))&gt;0.01),"Wochenstd. weichen vom Modell ab; ","")&amp;IF(AND(AI57="Ja",OR(AJ57="",AK57="")),"Kontogrenzen fehlen; ","")&amp;IF(AND(AL57="Mit Gehalt abgegolten (Pauschale)",AM57=""),"Überstunden-Pauschale fehlt; ","")))</f>
        <v/>
      </c>
      <c r="BH57" s="38"/>
    </row>
    <row r="58" customFormat="false" ht="15" hidden="false" customHeight="false" outlineLevel="0" collapsed="false">
      <c r="A58" s="37"/>
      <c r="B58" s="38"/>
      <c r="C58" s="38"/>
      <c r="D58" s="38"/>
      <c r="E58" s="38"/>
      <c r="F58" s="39"/>
      <c r="G58" s="38"/>
      <c r="H58" s="38"/>
      <c r="I58" s="37"/>
      <c r="J58" s="38"/>
      <c r="K58" s="38"/>
      <c r="L58" s="38"/>
      <c r="M58" s="38"/>
      <c r="N58" s="39"/>
      <c r="O58" s="39"/>
      <c r="P58" s="38"/>
      <c r="Q58" s="38"/>
      <c r="R58" s="38"/>
      <c r="S58" s="39"/>
      <c r="T58" s="39"/>
      <c r="U58" s="38"/>
      <c r="V58" s="38"/>
      <c r="W58" s="37"/>
      <c r="X58" s="38"/>
      <c r="Y58" s="38"/>
      <c r="Z58" s="37"/>
      <c r="AA58" s="38"/>
      <c r="AB58" s="38"/>
      <c r="AC58" s="40"/>
      <c r="AD58" s="41"/>
      <c r="AE58" s="42" t="str">
        <f aca="false">IF(OR(A58="",NOT(ISNUMBER(AC58)),NOT(ISNUMBER(AD58))),"",IF(AD58&gt;0,AC58/AD58,""))</f>
        <v/>
      </c>
      <c r="AF58" s="42" t="str">
        <f aca="false">IF(OR(A58="",AB58=""),"",IFERROR(INDEX(Arbeitszeitmodelle!$C$5:$C$34,MATCH(AB58,Arbeitszeitmodelle!$A$5:$A$34,0)),""))</f>
        <v/>
      </c>
      <c r="AG58" s="38"/>
      <c r="AH58" s="38"/>
      <c r="AI58" s="38"/>
      <c r="AJ58" s="41"/>
      <c r="AK58" s="41"/>
      <c r="AL58" s="38"/>
      <c r="AM58" s="41"/>
      <c r="AN58" s="38"/>
      <c r="AO58" s="38"/>
      <c r="AP58" s="38"/>
      <c r="AQ58" s="38"/>
      <c r="AR58" s="41"/>
      <c r="AS58" s="40"/>
      <c r="AT58" s="39"/>
      <c r="AU58" s="41"/>
      <c r="AV58" s="43" t="str">
        <f aca="false">IF(OR(A58="",NOT(ISNUMBER(AD58))),"",P_MinUrlaubWerktage/6*AD58)</f>
        <v/>
      </c>
      <c r="AW58" s="43" t="str">
        <f aca="false">IF(A58="","",IF(M58="Ja",P_ZusatzSB*IF(ISNUMBER(AD58),AD58,5)/5,0))</f>
        <v/>
      </c>
      <c r="AX58" s="41"/>
      <c r="AY58" s="39"/>
      <c r="AZ58" s="43" t="str">
        <f aca="false">IF(OR(A58="",NOT(ISNUMBER(AU58))),"",SUM(AU58,AW58,AX58))</f>
        <v/>
      </c>
      <c r="BA58" s="38"/>
      <c r="BB58" s="44"/>
      <c r="BC58" s="44"/>
      <c r="BD58" s="45" t="str">
        <f aca="false">IF(A58="","",IF(BA58="Stundenlohn",IF(ISNUMBER(BC58),BC58,""),IF(AND(ISNUMBER(BB58),ISNUMBER(AC58)),IF(AC58&gt;0,BB58*12/(AC58*52),""),"")))</f>
        <v/>
      </c>
      <c r="BE58" s="46" t="str">
        <f aca="false">IF(OR(A58="",NOT(ISNUMBER(F58))),"",IFERROR(DATEDIF(F58,P_Stichtag,"Y"),""))</f>
        <v/>
      </c>
      <c r="BF58" s="47" t="str">
        <f aca="false">IF(OR(A58="",NOT(ISNUMBER(BE58))),"",IF(BE58&lt;18,"Ja","Nein"))</f>
        <v/>
      </c>
      <c r="BG58" s="48" t="str">
        <f aca="false">IF(A58="","",IF((IF(OR(B58="",C58="",F58="",N58="",Q58="",AB58="",AC58="",AD58="",AU58=""),"Pflichtfelder fehlen; ","")&amp;IF(AND(ISNUMBER(AC58),AC58&gt;P_MaxWoche),"Wochenstunden &gt; Prüfgrenze; ","")&amp;IF(AND(BF58="Ja",ISNUMBER(AC58),AC58&gt;P_MaxWocheJugend),"Jugendlicher &gt; 40 h/Woche; ","")&amp;IF(AND(ISNUMBER(BD58),BD58&lt;P_Mindestlohn,Q58&lt;&gt;"Auszubildende/r",Q58&lt;&gt;"Praktikant/in"),"Mindestlohn unterschritten?; ","")&amp;IF(AND(Q58="Minijob (geringfügig)",ISNUMBER(BB58),BB58&gt;P_Minijob),"Minijob-Grenze überschritten; ","")&amp;IF(AND(R58="Ja",S58=""),"Befristung ohne Enddatum; ","")&amp;IF(AND(ISNUMBER(O58),ISNUMBER(N58),O58&lt;N58),"Austritt vor Eintritt; ","")&amp;IF(AND(ISNUMBER(AU58),ISNUMBER(AV58),AU58&lt;AV58),"Urlaub unter gesetzl. Minimum; ","")&amp;IF(AND(ISNUMBER(AC58),ISNUMBER(AF58),ABS(N(AC58)-N(AF58))&gt;0.01),"Wochenstd. weichen vom Modell ab; ","")&amp;IF(AND(AI58="Ja",OR(AJ58="",AK58="")),"Kontogrenzen fehlen; ","")&amp;IF(AND(AL58="Mit Gehalt abgegolten (Pauschale)",AM58=""),"Überstunden-Pauschale fehlt; ",""))="","OK",IF(OR(B58="",C58="",F58="",N58="",Q58="",AB58="",AC58="",AD58="",AU58=""),"Pflichtfelder fehlen; ","")&amp;IF(AND(ISNUMBER(AC58),AC58&gt;P_MaxWoche),"Wochenstunden &gt; Prüfgrenze; ","")&amp;IF(AND(BF58="Ja",ISNUMBER(AC58),AC58&gt;P_MaxWocheJugend),"Jugendlicher &gt; 40 h/Woche; ","")&amp;IF(AND(ISNUMBER(BD58),BD58&lt;P_Mindestlohn,Q58&lt;&gt;"Auszubildende/r",Q58&lt;&gt;"Praktikant/in"),"Mindestlohn unterschritten?; ","")&amp;IF(AND(Q58="Minijob (geringfügig)",ISNUMBER(BB58),BB58&gt;P_Minijob),"Minijob-Grenze überschritten; ","")&amp;IF(AND(R58="Ja",S58=""),"Befristung ohne Enddatum; ","")&amp;IF(AND(ISNUMBER(O58),ISNUMBER(N58),O58&lt;N58),"Austritt vor Eintritt; ","")&amp;IF(AND(ISNUMBER(AU58),ISNUMBER(AV58),AU58&lt;AV58),"Urlaub unter gesetzl. Minimum; ","")&amp;IF(AND(ISNUMBER(AC58),ISNUMBER(AF58),ABS(N(AC58)-N(AF58))&gt;0.01),"Wochenstd. weichen vom Modell ab; ","")&amp;IF(AND(AI58="Ja",OR(AJ58="",AK58="")),"Kontogrenzen fehlen; ","")&amp;IF(AND(AL58="Mit Gehalt abgegolten (Pauschale)",AM58=""),"Überstunden-Pauschale fehlt; ","")))</f>
        <v/>
      </c>
      <c r="BH58" s="38"/>
    </row>
    <row r="59" customFormat="false" ht="15" hidden="false" customHeight="false" outlineLevel="0" collapsed="false">
      <c r="A59" s="37"/>
      <c r="B59" s="38"/>
      <c r="C59" s="38"/>
      <c r="D59" s="38"/>
      <c r="E59" s="38"/>
      <c r="F59" s="39"/>
      <c r="G59" s="38"/>
      <c r="H59" s="38"/>
      <c r="I59" s="37"/>
      <c r="J59" s="38"/>
      <c r="K59" s="38"/>
      <c r="L59" s="38"/>
      <c r="M59" s="38"/>
      <c r="N59" s="39"/>
      <c r="O59" s="39"/>
      <c r="P59" s="38"/>
      <c r="Q59" s="38"/>
      <c r="R59" s="38"/>
      <c r="S59" s="39"/>
      <c r="T59" s="39"/>
      <c r="U59" s="38"/>
      <c r="V59" s="38"/>
      <c r="W59" s="37"/>
      <c r="X59" s="38"/>
      <c r="Y59" s="38"/>
      <c r="Z59" s="37"/>
      <c r="AA59" s="38"/>
      <c r="AB59" s="38"/>
      <c r="AC59" s="40"/>
      <c r="AD59" s="41"/>
      <c r="AE59" s="42" t="str">
        <f aca="false">IF(OR(A59="",NOT(ISNUMBER(AC59)),NOT(ISNUMBER(AD59))),"",IF(AD59&gt;0,AC59/AD59,""))</f>
        <v/>
      </c>
      <c r="AF59" s="42" t="str">
        <f aca="false">IF(OR(A59="",AB59=""),"",IFERROR(INDEX(Arbeitszeitmodelle!$C$5:$C$34,MATCH(AB59,Arbeitszeitmodelle!$A$5:$A$34,0)),""))</f>
        <v/>
      </c>
      <c r="AG59" s="38"/>
      <c r="AH59" s="38"/>
      <c r="AI59" s="38"/>
      <c r="AJ59" s="41"/>
      <c r="AK59" s="41"/>
      <c r="AL59" s="38"/>
      <c r="AM59" s="41"/>
      <c r="AN59" s="38"/>
      <c r="AO59" s="38"/>
      <c r="AP59" s="38"/>
      <c r="AQ59" s="38"/>
      <c r="AR59" s="41"/>
      <c r="AS59" s="40"/>
      <c r="AT59" s="39"/>
      <c r="AU59" s="41"/>
      <c r="AV59" s="43" t="str">
        <f aca="false">IF(OR(A59="",NOT(ISNUMBER(AD59))),"",P_MinUrlaubWerktage/6*AD59)</f>
        <v/>
      </c>
      <c r="AW59" s="43" t="str">
        <f aca="false">IF(A59="","",IF(M59="Ja",P_ZusatzSB*IF(ISNUMBER(AD59),AD59,5)/5,0))</f>
        <v/>
      </c>
      <c r="AX59" s="41"/>
      <c r="AY59" s="39"/>
      <c r="AZ59" s="43" t="str">
        <f aca="false">IF(OR(A59="",NOT(ISNUMBER(AU59))),"",SUM(AU59,AW59,AX59))</f>
        <v/>
      </c>
      <c r="BA59" s="38"/>
      <c r="BB59" s="44"/>
      <c r="BC59" s="44"/>
      <c r="BD59" s="45" t="str">
        <f aca="false">IF(A59="","",IF(BA59="Stundenlohn",IF(ISNUMBER(BC59),BC59,""),IF(AND(ISNUMBER(BB59),ISNUMBER(AC59)),IF(AC59&gt;0,BB59*12/(AC59*52),""),"")))</f>
        <v/>
      </c>
      <c r="BE59" s="46" t="str">
        <f aca="false">IF(OR(A59="",NOT(ISNUMBER(F59))),"",IFERROR(DATEDIF(F59,P_Stichtag,"Y"),""))</f>
        <v/>
      </c>
      <c r="BF59" s="47" t="str">
        <f aca="false">IF(OR(A59="",NOT(ISNUMBER(BE59))),"",IF(BE59&lt;18,"Ja","Nein"))</f>
        <v/>
      </c>
      <c r="BG59" s="48" t="str">
        <f aca="false">IF(A59="","",IF((IF(OR(B59="",C59="",F59="",N59="",Q59="",AB59="",AC59="",AD59="",AU59=""),"Pflichtfelder fehlen; ","")&amp;IF(AND(ISNUMBER(AC59),AC59&gt;P_MaxWoche),"Wochenstunden &gt; Prüfgrenze; ","")&amp;IF(AND(BF59="Ja",ISNUMBER(AC59),AC59&gt;P_MaxWocheJugend),"Jugendlicher &gt; 40 h/Woche; ","")&amp;IF(AND(ISNUMBER(BD59),BD59&lt;P_Mindestlohn,Q59&lt;&gt;"Auszubildende/r",Q59&lt;&gt;"Praktikant/in"),"Mindestlohn unterschritten?; ","")&amp;IF(AND(Q59="Minijob (geringfügig)",ISNUMBER(BB59),BB59&gt;P_Minijob),"Minijob-Grenze überschritten; ","")&amp;IF(AND(R59="Ja",S59=""),"Befristung ohne Enddatum; ","")&amp;IF(AND(ISNUMBER(O59),ISNUMBER(N59),O59&lt;N59),"Austritt vor Eintritt; ","")&amp;IF(AND(ISNUMBER(AU59),ISNUMBER(AV59),AU59&lt;AV59),"Urlaub unter gesetzl. Minimum; ","")&amp;IF(AND(ISNUMBER(AC59),ISNUMBER(AF59),ABS(N(AC59)-N(AF59))&gt;0.01),"Wochenstd. weichen vom Modell ab; ","")&amp;IF(AND(AI59="Ja",OR(AJ59="",AK59="")),"Kontogrenzen fehlen; ","")&amp;IF(AND(AL59="Mit Gehalt abgegolten (Pauschale)",AM59=""),"Überstunden-Pauschale fehlt; ",""))="","OK",IF(OR(B59="",C59="",F59="",N59="",Q59="",AB59="",AC59="",AD59="",AU59=""),"Pflichtfelder fehlen; ","")&amp;IF(AND(ISNUMBER(AC59),AC59&gt;P_MaxWoche),"Wochenstunden &gt; Prüfgrenze; ","")&amp;IF(AND(BF59="Ja",ISNUMBER(AC59),AC59&gt;P_MaxWocheJugend),"Jugendlicher &gt; 40 h/Woche; ","")&amp;IF(AND(ISNUMBER(BD59),BD59&lt;P_Mindestlohn,Q59&lt;&gt;"Auszubildende/r",Q59&lt;&gt;"Praktikant/in"),"Mindestlohn unterschritten?; ","")&amp;IF(AND(Q59="Minijob (geringfügig)",ISNUMBER(BB59),BB59&gt;P_Minijob),"Minijob-Grenze überschritten; ","")&amp;IF(AND(R59="Ja",S59=""),"Befristung ohne Enddatum; ","")&amp;IF(AND(ISNUMBER(O59),ISNUMBER(N59),O59&lt;N59),"Austritt vor Eintritt; ","")&amp;IF(AND(ISNUMBER(AU59),ISNUMBER(AV59),AU59&lt;AV59),"Urlaub unter gesetzl. Minimum; ","")&amp;IF(AND(ISNUMBER(AC59),ISNUMBER(AF59),ABS(N(AC59)-N(AF59))&gt;0.01),"Wochenstd. weichen vom Modell ab; ","")&amp;IF(AND(AI59="Ja",OR(AJ59="",AK59="")),"Kontogrenzen fehlen; ","")&amp;IF(AND(AL59="Mit Gehalt abgegolten (Pauschale)",AM59=""),"Überstunden-Pauschale fehlt; ","")))</f>
        <v/>
      </c>
      <c r="BH59" s="38"/>
    </row>
    <row r="60" customFormat="false" ht="15" hidden="false" customHeight="false" outlineLevel="0" collapsed="false">
      <c r="A60" s="37"/>
      <c r="B60" s="38"/>
      <c r="C60" s="38"/>
      <c r="D60" s="38"/>
      <c r="E60" s="38"/>
      <c r="F60" s="39"/>
      <c r="G60" s="38"/>
      <c r="H60" s="38"/>
      <c r="I60" s="37"/>
      <c r="J60" s="38"/>
      <c r="K60" s="38"/>
      <c r="L60" s="38"/>
      <c r="M60" s="38"/>
      <c r="N60" s="39"/>
      <c r="O60" s="39"/>
      <c r="P60" s="38"/>
      <c r="Q60" s="38"/>
      <c r="R60" s="38"/>
      <c r="S60" s="39"/>
      <c r="T60" s="39"/>
      <c r="U60" s="38"/>
      <c r="V60" s="38"/>
      <c r="W60" s="37"/>
      <c r="X60" s="38"/>
      <c r="Y60" s="38"/>
      <c r="Z60" s="37"/>
      <c r="AA60" s="38"/>
      <c r="AB60" s="38"/>
      <c r="AC60" s="40"/>
      <c r="AD60" s="41"/>
      <c r="AE60" s="42" t="str">
        <f aca="false">IF(OR(A60="",NOT(ISNUMBER(AC60)),NOT(ISNUMBER(AD60))),"",IF(AD60&gt;0,AC60/AD60,""))</f>
        <v/>
      </c>
      <c r="AF60" s="42" t="str">
        <f aca="false">IF(OR(A60="",AB60=""),"",IFERROR(INDEX(Arbeitszeitmodelle!$C$5:$C$34,MATCH(AB60,Arbeitszeitmodelle!$A$5:$A$34,0)),""))</f>
        <v/>
      </c>
      <c r="AG60" s="38"/>
      <c r="AH60" s="38"/>
      <c r="AI60" s="38"/>
      <c r="AJ60" s="41"/>
      <c r="AK60" s="41"/>
      <c r="AL60" s="38"/>
      <c r="AM60" s="41"/>
      <c r="AN60" s="38"/>
      <c r="AO60" s="38"/>
      <c r="AP60" s="38"/>
      <c r="AQ60" s="38"/>
      <c r="AR60" s="41"/>
      <c r="AS60" s="40"/>
      <c r="AT60" s="39"/>
      <c r="AU60" s="41"/>
      <c r="AV60" s="43" t="str">
        <f aca="false">IF(OR(A60="",NOT(ISNUMBER(AD60))),"",P_MinUrlaubWerktage/6*AD60)</f>
        <v/>
      </c>
      <c r="AW60" s="43" t="str">
        <f aca="false">IF(A60="","",IF(M60="Ja",P_ZusatzSB*IF(ISNUMBER(AD60),AD60,5)/5,0))</f>
        <v/>
      </c>
      <c r="AX60" s="41"/>
      <c r="AY60" s="39"/>
      <c r="AZ60" s="43" t="str">
        <f aca="false">IF(OR(A60="",NOT(ISNUMBER(AU60))),"",SUM(AU60,AW60,AX60))</f>
        <v/>
      </c>
      <c r="BA60" s="38"/>
      <c r="BB60" s="44"/>
      <c r="BC60" s="44"/>
      <c r="BD60" s="45" t="str">
        <f aca="false">IF(A60="","",IF(BA60="Stundenlohn",IF(ISNUMBER(BC60),BC60,""),IF(AND(ISNUMBER(BB60),ISNUMBER(AC60)),IF(AC60&gt;0,BB60*12/(AC60*52),""),"")))</f>
        <v/>
      </c>
      <c r="BE60" s="46" t="str">
        <f aca="false">IF(OR(A60="",NOT(ISNUMBER(F60))),"",IFERROR(DATEDIF(F60,P_Stichtag,"Y"),""))</f>
        <v/>
      </c>
      <c r="BF60" s="47" t="str">
        <f aca="false">IF(OR(A60="",NOT(ISNUMBER(BE60))),"",IF(BE60&lt;18,"Ja","Nein"))</f>
        <v/>
      </c>
      <c r="BG60" s="48" t="str">
        <f aca="false">IF(A60="","",IF((IF(OR(B60="",C60="",F60="",N60="",Q60="",AB60="",AC60="",AD60="",AU60=""),"Pflichtfelder fehlen; ","")&amp;IF(AND(ISNUMBER(AC60),AC60&gt;P_MaxWoche),"Wochenstunden &gt; Prüfgrenze; ","")&amp;IF(AND(BF60="Ja",ISNUMBER(AC60),AC60&gt;P_MaxWocheJugend),"Jugendlicher &gt; 40 h/Woche; ","")&amp;IF(AND(ISNUMBER(BD60),BD60&lt;P_Mindestlohn,Q60&lt;&gt;"Auszubildende/r",Q60&lt;&gt;"Praktikant/in"),"Mindestlohn unterschritten?; ","")&amp;IF(AND(Q60="Minijob (geringfügig)",ISNUMBER(BB60),BB60&gt;P_Minijob),"Minijob-Grenze überschritten; ","")&amp;IF(AND(R60="Ja",S60=""),"Befristung ohne Enddatum; ","")&amp;IF(AND(ISNUMBER(O60),ISNUMBER(N60),O60&lt;N60),"Austritt vor Eintritt; ","")&amp;IF(AND(ISNUMBER(AU60),ISNUMBER(AV60),AU60&lt;AV60),"Urlaub unter gesetzl. Minimum; ","")&amp;IF(AND(ISNUMBER(AC60),ISNUMBER(AF60),ABS(N(AC60)-N(AF60))&gt;0.01),"Wochenstd. weichen vom Modell ab; ","")&amp;IF(AND(AI60="Ja",OR(AJ60="",AK60="")),"Kontogrenzen fehlen; ","")&amp;IF(AND(AL60="Mit Gehalt abgegolten (Pauschale)",AM60=""),"Überstunden-Pauschale fehlt; ",""))="","OK",IF(OR(B60="",C60="",F60="",N60="",Q60="",AB60="",AC60="",AD60="",AU60=""),"Pflichtfelder fehlen; ","")&amp;IF(AND(ISNUMBER(AC60),AC60&gt;P_MaxWoche),"Wochenstunden &gt; Prüfgrenze; ","")&amp;IF(AND(BF60="Ja",ISNUMBER(AC60),AC60&gt;P_MaxWocheJugend),"Jugendlicher &gt; 40 h/Woche; ","")&amp;IF(AND(ISNUMBER(BD60),BD60&lt;P_Mindestlohn,Q60&lt;&gt;"Auszubildende/r",Q60&lt;&gt;"Praktikant/in"),"Mindestlohn unterschritten?; ","")&amp;IF(AND(Q60="Minijob (geringfügig)",ISNUMBER(BB60),BB60&gt;P_Minijob),"Minijob-Grenze überschritten; ","")&amp;IF(AND(R60="Ja",S60=""),"Befristung ohne Enddatum; ","")&amp;IF(AND(ISNUMBER(O60),ISNUMBER(N60),O60&lt;N60),"Austritt vor Eintritt; ","")&amp;IF(AND(ISNUMBER(AU60),ISNUMBER(AV60),AU60&lt;AV60),"Urlaub unter gesetzl. Minimum; ","")&amp;IF(AND(ISNUMBER(AC60),ISNUMBER(AF60),ABS(N(AC60)-N(AF60))&gt;0.01),"Wochenstd. weichen vom Modell ab; ","")&amp;IF(AND(AI60="Ja",OR(AJ60="",AK60="")),"Kontogrenzen fehlen; ","")&amp;IF(AND(AL60="Mit Gehalt abgegolten (Pauschale)",AM60=""),"Überstunden-Pauschale fehlt; ","")))</f>
        <v/>
      </c>
      <c r="BH60" s="38"/>
    </row>
    <row r="61" customFormat="false" ht="15" hidden="false" customHeight="false" outlineLevel="0" collapsed="false">
      <c r="A61" s="37"/>
      <c r="B61" s="38"/>
      <c r="C61" s="38"/>
      <c r="D61" s="38"/>
      <c r="E61" s="38"/>
      <c r="F61" s="39"/>
      <c r="G61" s="38"/>
      <c r="H61" s="38"/>
      <c r="I61" s="37"/>
      <c r="J61" s="38"/>
      <c r="K61" s="38"/>
      <c r="L61" s="38"/>
      <c r="M61" s="38"/>
      <c r="N61" s="39"/>
      <c r="O61" s="39"/>
      <c r="P61" s="38"/>
      <c r="Q61" s="38"/>
      <c r="R61" s="38"/>
      <c r="S61" s="39"/>
      <c r="T61" s="39"/>
      <c r="U61" s="38"/>
      <c r="V61" s="38"/>
      <c r="W61" s="37"/>
      <c r="X61" s="38"/>
      <c r="Y61" s="38"/>
      <c r="Z61" s="37"/>
      <c r="AA61" s="38"/>
      <c r="AB61" s="38"/>
      <c r="AC61" s="40"/>
      <c r="AD61" s="41"/>
      <c r="AE61" s="42" t="str">
        <f aca="false">IF(OR(A61="",NOT(ISNUMBER(AC61)),NOT(ISNUMBER(AD61))),"",IF(AD61&gt;0,AC61/AD61,""))</f>
        <v/>
      </c>
      <c r="AF61" s="42" t="str">
        <f aca="false">IF(OR(A61="",AB61=""),"",IFERROR(INDEX(Arbeitszeitmodelle!$C$5:$C$34,MATCH(AB61,Arbeitszeitmodelle!$A$5:$A$34,0)),""))</f>
        <v/>
      </c>
      <c r="AG61" s="38"/>
      <c r="AH61" s="38"/>
      <c r="AI61" s="38"/>
      <c r="AJ61" s="41"/>
      <c r="AK61" s="41"/>
      <c r="AL61" s="38"/>
      <c r="AM61" s="41"/>
      <c r="AN61" s="38"/>
      <c r="AO61" s="38"/>
      <c r="AP61" s="38"/>
      <c r="AQ61" s="38"/>
      <c r="AR61" s="41"/>
      <c r="AS61" s="40"/>
      <c r="AT61" s="39"/>
      <c r="AU61" s="41"/>
      <c r="AV61" s="43" t="str">
        <f aca="false">IF(OR(A61="",NOT(ISNUMBER(AD61))),"",P_MinUrlaubWerktage/6*AD61)</f>
        <v/>
      </c>
      <c r="AW61" s="43" t="str">
        <f aca="false">IF(A61="","",IF(M61="Ja",P_ZusatzSB*IF(ISNUMBER(AD61),AD61,5)/5,0))</f>
        <v/>
      </c>
      <c r="AX61" s="41"/>
      <c r="AY61" s="39"/>
      <c r="AZ61" s="43" t="str">
        <f aca="false">IF(OR(A61="",NOT(ISNUMBER(AU61))),"",SUM(AU61,AW61,AX61))</f>
        <v/>
      </c>
      <c r="BA61" s="38"/>
      <c r="BB61" s="44"/>
      <c r="BC61" s="44"/>
      <c r="BD61" s="45" t="str">
        <f aca="false">IF(A61="","",IF(BA61="Stundenlohn",IF(ISNUMBER(BC61),BC61,""),IF(AND(ISNUMBER(BB61),ISNUMBER(AC61)),IF(AC61&gt;0,BB61*12/(AC61*52),""),"")))</f>
        <v/>
      </c>
      <c r="BE61" s="46" t="str">
        <f aca="false">IF(OR(A61="",NOT(ISNUMBER(F61))),"",IFERROR(DATEDIF(F61,P_Stichtag,"Y"),""))</f>
        <v/>
      </c>
      <c r="BF61" s="47" t="str">
        <f aca="false">IF(OR(A61="",NOT(ISNUMBER(BE61))),"",IF(BE61&lt;18,"Ja","Nein"))</f>
        <v/>
      </c>
      <c r="BG61" s="48" t="str">
        <f aca="false">IF(A61="","",IF((IF(OR(B61="",C61="",F61="",N61="",Q61="",AB61="",AC61="",AD61="",AU61=""),"Pflichtfelder fehlen; ","")&amp;IF(AND(ISNUMBER(AC61),AC61&gt;P_MaxWoche),"Wochenstunden &gt; Prüfgrenze; ","")&amp;IF(AND(BF61="Ja",ISNUMBER(AC61),AC61&gt;P_MaxWocheJugend),"Jugendlicher &gt; 40 h/Woche; ","")&amp;IF(AND(ISNUMBER(BD61),BD61&lt;P_Mindestlohn,Q61&lt;&gt;"Auszubildende/r",Q61&lt;&gt;"Praktikant/in"),"Mindestlohn unterschritten?; ","")&amp;IF(AND(Q61="Minijob (geringfügig)",ISNUMBER(BB61),BB61&gt;P_Minijob),"Minijob-Grenze überschritten; ","")&amp;IF(AND(R61="Ja",S61=""),"Befristung ohne Enddatum; ","")&amp;IF(AND(ISNUMBER(O61),ISNUMBER(N61),O61&lt;N61),"Austritt vor Eintritt; ","")&amp;IF(AND(ISNUMBER(AU61),ISNUMBER(AV61),AU61&lt;AV61),"Urlaub unter gesetzl. Minimum; ","")&amp;IF(AND(ISNUMBER(AC61),ISNUMBER(AF61),ABS(N(AC61)-N(AF61))&gt;0.01),"Wochenstd. weichen vom Modell ab; ","")&amp;IF(AND(AI61="Ja",OR(AJ61="",AK61="")),"Kontogrenzen fehlen; ","")&amp;IF(AND(AL61="Mit Gehalt abgegolten (Pauschale)",AM61=""),"Überstunden-Pauschale fehlt; ",""))="","OK",IF(OR(B61="",C61="",F61="",N61="",Q61="",AB61="",AC61="",AD61="",AU61=""),"Pflichtfelder fehlen; ","")&amp;IF(AND(ISNUMBER(AC61),AC61&gt;P_MaxWoche),"Wochenstunden &gt; Prüfgrenze; ","")&amp;IF(AND(BF61="Ja",ISNUMBER(AC61),AC61&gt;P_MaxWocheJugend),"Jugendlicher &gt; 40 h/Woche; ","")&amp;IF(AND(ISNUMBER(BD61),BD61&lt;P_Mindestlohn,Q61&lt;&gt;"Auszubildende/r",Q61&lt;&gt;"Praktikant/in"),"Mindestlohn unterschritten?; ","")&amp;IF(AND(Q61="Minijob (geringfügig)",ISNUMBER(BB61),BB61&gt;P_Minijob),"Minijob-Grenze überschritten; ","")&amp;IF(AND(R61="Ja",S61=""),"Befristung ohne Enddatum; ","")&amp;IF(AND(ISNUMBER(O61),ISNUMBER(N61),O61&lt;N61),"Austritt vor Eintritt; ","")&amp;IF(AND(ISNUMBER(AU61),ISNUMBER(AV61),AU61&lt;AV61),"Urlaub unter gesetzl. Minimum; ","")&amp;IF(AND(ISNUMBER(AC61),ISNUMBER(AF61),ABS(N(AC61)-N(AF61))&gt;0.01),"Wochenstd. weichen vom Modell ab; ","")&amp;IF(AND(AI61="Ja",OR(AJ61="",AK61="")),"Kontogrenzen fehlen; ","")&amp;IF(AND(AL61="Mit Gehalt abgegolten (Pauschale)",AM61=""),"Überstunden-Pauschale fehlt; ","")))</f>
        <v/>
      </c>
      <c r="BH61" s="38"/>
    </row>
    <row r="62" customFormat="false" ht="15" hidden="false" customHeight="false" outlineLevel="0" collapsed="false">
      <c r="A62" s="37"/>
      <c r="B62" s="38"/>
      <c r="C62" s="38"/>
      <c r="D62" s="38"/>
      <c r="E62" s="38"/>
      <c r="F62" s="39"/>
      <c r="G62" s="38"/>
      <c r="H62" s="38"/>
      <c r="I62" s="37"/>
      <c r="J62" s="38"/>
      <c r="K62" s="38"/>
      <c r="L62" s="38"/>
      <c r="M62" s="38"/>
      <c r="N62" s="39"/>
      <c r="O62" s="39"/>
      <c r="P62" s="38"/>
      <c r="Q62" s="38"/>
      <c r="R62" s="38"/>
      <c r="S62" s="39"/>
      <c r="T62" s="39"/>
      <c r="U62" s="38"/>
      <c r="V62" s="38"/>
      <c r="W62" s="37"/>
      <c r="X62" s="38"/>
      <c r="Y62" s="38"/>
      <c r="Z62" s="37"/>
      <c r="AA62" s="38"/>
      <c r="AB62" s="38"/>
      <c r="AC62" s="40"/>
      <c r="AD62" s="41"/>
      <c r="AE62" s="42" t="str">
        <f aca="false">IF(OR(A62="",NOT(ISNUMBER(AC62)),NOT(ISNUMBER(AD62))),"",IF(AD62&gt;0,AC62/AD62,""))</f>
        <v/>
      </c>
      <c r="AF62" s="42" t="str">
        <f aca="false">IF(OR(A62="",AB62=""),"",IFERROR(INDEX(Arbeitszeitmodelle!$C$5:$C$34,MATCH(AB62,Arbeitszeitmodelle!$A$5:$A$34,0)),""))</f>
        <v/>
      </c>
      <c r="AG62" s="38"/>
      <c r="AH62" s="38"/>
      <c r="AI62" s="38"/>
      <c r="AJ62" s="41"/>
      <c r="AK62" s="41"/>
      <c r="AL62" s="38"/>
      <c r="AM62" s="41"/>
      <c r="AN62" s="38"/>
      <c r="AO62" s="38"/>
      <c r="AP62" s="38"/>
      <c r="AQ62" s="38"/>
      <c r="AR62" s="41"/>
      <c r="AS62" s="40"/>
      <c r="AT62" s="39"/>
      <c r="AU62" s="41"/>
      <c r="AV62" s="43" t="str">
        <f aca="false">IF(OR(A62="",NOT(ISNUMBER(AD62))),"",P_MinUrlaubWerktage/6*AD62)</f>
        <v/>
      </c>
      <c r="AW62" s="43" t="str">
        <f aca="false">IF(A62="","",IF(M62="Ja",P_ZusatzSB*IF(ISNUMBER(AD62),AD62,5)/5,0))</f>
        <v/>
      </c>
      <c r="AX62" s="41"/>
      <c r="AY62" s="39"/>
      <c r="AZ62" s="43" t="str">
        <f aca="false">IF(OR(A62="",NOT(ISNUMBER(AU62))),"",SUM(AU62,AW62,AX62))</f>
        <v/>
      </c>
      <c r="BA62" s="38"/>
      <c r="BB62" s="44"/>
      <c r="BC62" s="44"/>
      <c r="BD62" s="45" t="str">
        <f aca="false">IF(A62="","",IF(BA62="Stundenlohn",IF(ISNUMBER(BC62),BC62,""),IF(AND(ISNUMBER(BB62),ISNUMBER(AC62)),IF(AC62&gt;0,BB62*12/(AC62*52),""),"")))</f>
        <v/>
      </c>
      <c r="BE62" s="46" t="str">
        <f aca="false">IF(OR(A62="",NOT(ISNUMBER(F62))),"",IFERROR(DATEDIF(F62,P_Stichtag,"Y"),""))</f>
        <v/>
      </c>
      <c r="BF62" s="47" t="str">
        <f aca="false">IF(OR(A62="",NOT(ISNUMBER(BE62))),"",IF(BE62&lt;18,"Ja","Nein"))</f>
        <v/>
      </c>
      <c r="BG62" s="48" t="str">
        <f aca="false">IF(A62="","",IF((IF(OR(B62="",C62="",F62="",N62="",Q62="",AB62="",AC62="",AD62="",AU62=""),"Pflichtfelder fehlen; ","")&amp;IF(AND(ISNUMBER(AC62),AC62&gt;P_MaxWoche),"Wochenstunden &gt; Prüfgrenze; ","")&amp;IF(AND(BF62="Ja",ISNUMBER(AC62),AC62&gt;P_MaxWocheJugend),"Jugendlicher &gt; 40 h/Woche; ","")&amp;IF(AND(ISNUMBER(BD62),BD62&lt;P_Mindestlohn,Q62&lt;&gt;"Auszubildende/r",Q62&lt;&gt;"Praktikant/in"),"Mindestlohn unterschritten?; ","")&amp;IF(AND(Q62="Minijob (geringfügig)",ISNUMBER(BB62),BB62&gt;P_Minijob),"Minijob-Grenze überschritten; ","")&amp;IF(AND(R62="Ja",S62=""),"Befristung ohne Enddatum; ","")&amp;IF(AND(ISNUMBER(O62),ISNUMBER(N62),O62&lt;N62),"Austritt vor Eintritt; ","")&amp;IF(AND(ISNUMBER(AU62),ISNUMBER(AV62),AU62&lt;AV62),"Urlaub unter gesetzl. Minimum; ","")&amp;IF(AND(ISNUMBER(AC62),ISNUMBER(AF62),ABS(N(AC62)-N(AF62))&gt;0.01),"Wochenstd. weichen vom Modell ab; ","")&amp;IF(AND(AI62="Ja",OR(AJ62="",AK62="")),"Kontogrenzen fehlen; ","")&amp;IF(AND(AL62="Mit Gehalt abgegolten (Pauschale)",AM62=""),"Überstunden-Pauschale fehlt; ",""))="","OK",IF(OR(B62="",C62="",F62="",N62="",Q62="",AB62="",AC62="",AD62="",AU62=""),"Pflichtfelder fehlen; ","")&amp;IF(AND(ISNUMBER(AC62),AC62&gt;P_MaxWoche),"Wochenstunden &gt; Prüfgrenze; ","")&amp;IF(AND(BF62="Ja",ISNUMBER(AC62),AC62&gt;P_MaxWocheJugend),"Jugendlicher &gt; 40 h/Woche; ","")&amp;IF(AND(ISNUMBER(BD62),BD62&lt;P_Mindestlohn,Q62&lt;&gt;"Auszubildende/r",Q62&lt;&gt;"Praktikant/in"),"Mindestlohn unterschritten?; ","")&amp;IF(AND(Q62="Minijob (geringfügig)",ISNUMBER(BB62),BB62&gt;P_Minijob),"Minijob-Grenze überschritten; ","")&amp;IF(AND(R62="Ja",S62=""),"Befristung ohne Enddatum; ","")&amp;IF(AND(ISNUMBER(O62),ISNUMBER(N62),O62&lt;N62),"Austritt vor Eintritt; ","")&amp;IF(AND(ISNUMBER(AU62),ISNUMBER(AV62),AU62&lt;AV62),"Urlaub unter gesetzl. Minimum; ","")&amp;IF(AND(ISNUMBER(AC62),ISNUMBER(AF62),ABS(N(AC62)-N(AF62))&gt;0.01),"Wochenstd. weichen vom Modell ab; ","")&amp;IF(AND(AI62="Ja",OR(AJ62="",AK62="")),"Kontogrenzen fehlen; ","")&amp;IF(AND(AL62="Mit Gehalt abgegolten (Pauschale)",AM62=""),"Überstunden-Pauschale fehlt; ","")))</f>
        <v/>
      </c>
      <c r="BH62" s="38"/>
    </row>
    <row r="63" customFormat="false" ht="15" hidden="false" customHeight="false" outlineLevel="0" collapsed="false">
      <c r="A63" s="37"/>
      <c r="B63" s="38"/>
      <c r="C63" s="38"/>
      <c r="D63" s="38"/>
      <c r="E63" s="38"/>
      <c r="F63" s="39"/>
      <c r="G63" s="38"/>
      <c r="H63" s="38"/>
      <c r="I63" s="37"/>
      <c r="J63" s="38"/>
      <c r="K63" s="38"/>
      <c r="L63" s="38"/>
      <c r="M63" s="38"/>
      <c r="N63" s="39"/>
      <c r="O63" s="39"/>
      <c r="P63" s="38"/>
      <c r="Q63" s="38"/>
      <c r="R63" s="38"/>
      <c r="S63" s="39"/>
      <c r="T63" s="39"/>
      <c r="U63" s="38"/>
      <c r="V63" s="38"/>
      <c r="W63" s="37"/>
      <c r="X63" s="38"/>
      <c r="Y63" s="38"/>
      <c r="Z63" s="37"/>
      <c r="AA63" s="38"/>
      <c r="AB63" s="38"/>
      <c r="AC63" s="40"/>
      <c r="AD63" s="41"/>
      <c r="AE63" s="42" t="str">
        <f aca="false">IF(OR(A63="",NOT(ISNUMBER(AC63)),NOT(ISNUMBER(AD63))),"",IF(AD63&gt;0,AC63/AD63,""))</f>
        <v/>
      </c>
      <c r="AF63" s="42" t="str">
        <f aca="false">IF(OR(A63="",AB63=""),"",IFERROR(INDEX(Arbeitszeitmodelle!$C$5:$C$34,MATCH(AB63,Arbeitszeitmodelle!$A$5:$A$34,0)),""))</f>
        <v/>
      </c>
      <c r="AG63" s="38"/>
      <c r="AH63" s="38"/>
      <c r="AI63" s="38"/>
      <c r="AJ63" s="41"/>
      <c r="AK63" s="41"/>
      <c r="AL63" s="38"/>
      <c r="AM63" s="41"/>
      <c r="AN63" s="38"/>
      <c r="AO63" s="38"/>
      <c r="AP63" s="38"/>
      <c r="AQ63" s="38"/>
      <c r="AR63" s="41"/>
      <c r="AS63" s="40"/>
      <c r="AT63" s="39"/>
      <c r="AU63" s="41"/>
      <c r="AV63" s="43" t="str">
        <f aca="false">IF(OR(A63="",NOT(ISNUMBER(AD63))),"",P_MinUrlaubWerktage/6*AD63)</f>
        <v/>
      </c>
      <c r="AW63" s="43" t="str">
        <f aca="false">IF(A63="","",IF(M63="Ja",P_ZusatzSB*IF(ISNUMBER(AD63),AD63,5)/5,0))</f>
        <v/>
      </c>
      <c r="AX63" s="41"/>
      <c r="AY63" s="39"/>
      <c r="AZ63" s="43" t="str">
        <f aca="false">IF(OR(A63="",NOT(ISNUMBER(AU63))),"",SUM(AU63,AW63,AX63))</f>
        <v/>
      </c>
      <c r="BA63" s="38"/>
      <c r="BB63" s="44"/>
      <c r="BC63" s="44"/>
      <c r="BD63" s="45" t="str">
        <f aca="false">IF(A63="","",IF(BA63="Stundenlohn",IF(ISNUMBER(BC63),BC63,""),IF(AND(ISNUMBER(BB63),ISNUMBER(AC63)),IF(AC63&gt;0,BB63*12/(AC63*52),""),"")))</f>
        <v/>
      </c>
      <c r="BE63" s="46" t="str">
        <f aca="false">IF(OR(A63="",NOT(ISNUMBER(F63))),"",IFERROR(DATEDIF(F63,P_Stichtag,"Y"),""))</f>
        <v/>
      </c>
      <c r="BF63" s="47" t="str">
        <f aca="false">IF(OR(A63="",NOT(ISNUMBER(BE63))),"",IF(BE63&lt;18,"Ja","Nein"))</f>
        <v/>
      </c>
      <c r="BG63" s="48" t="str">
        <f aca="false">IF(A63="","",IF((IF(OR(B63="",C63="",F63="",N63="",Q63="",AB63="",AC63="",AD63="",AU63=""),"Pflichtfelder fehlen; ","")&amp;IF(AND(ISNUMBER(AC63),AC63&gt;P_MaxWoche),"Wochenstunden &gt; Prüfgrenze; ","")&amp;IF(AND(BF63="Ja",ISNUMBER(AC63),AC63&gt;P_MaxWocheJugend),"Jugendlicher &gt; 40 h/Woche; ","")&amp;IF(AND(ISNUMBER(BD63),BD63&lt;P_Mindestlohn,Q63&lt;&gt;"Auszubildende/r",Q63&lt;&gt;"Praktikant/in"),"Mindestlohn unterschritten?; ","")&amp;IF(AND(Q63="Minijob (geringfügig)",ISNUMBER(BB63),BB63&gt;P_Minijob),"Minijob-Grenze überschritten; ","")&amp;IF(AND(R63="Ja",S63=""),"Befristung ohne Enddatum; ","")&amp;IF(AND(ISNUMBER(O63),ISNUMBER(N63),O63&lt;N63),"Austritt vor Eintritt; ","")&amp;IF(AND(ISNUMBER(AU63),ISNUMBER(AV63),AU63&lt;AV63),"Urlaub unter gesetzl. Minimum; ","")&amp;IF(AND(ISNUMBER(AC63),ISNUMBER(AF63),ABS(N(AC63)-N(AF63))&gt;0.01),"Wochenstd. weichen vom Modell ab; ","")&amp;IF(AND(AI63="Ja",OR(AJ63="",AK63="")),"Kontogrenzen fehlen; ","")&amp;IF(AND(AL63="Mit Gehalt abgegolten (Pauschale)",AM63=""),"Überstunden-Pauschale fehlt; ",""))="","OK",IF(OR(B63="",C63="",F63="",N63="",Q63="",AB63="",AC63="",AD63="",AU63=""),"Pflichtfelder fehlen; ","")&amp;IF(AND(ISNUMBER(AC63),AC63&gt;P_MaxWoche),"Wochenstunden &gt; Prüfgrenze; ","")&amp;IF(AND(BF63="Ja",ISNUMBER(AC63),AC63&gt;P_MaxWocheJugend),"Jugendlicher &gt; 40 h/Woche; ","")&amp;IF(AND(ISNUMBER(BD63),BD63&lt;P_Mindestlohn,Q63&lt;&gt;"Auszubildende/r",Q63&lt;&gt;"Praktikant/in"),"Mindestlohn unterschritten?; ","")&amp;IF(AND(Q63="Minijob (geringfügig)",ISNUMBER(BB63),BB63&gt;P_Minijob),"Minijob-Grenze überschritten; ","")&amp;IF(AND(R63="Ja",S63=""),"Befristung ohne Enddatum; ","")&amp;IF(AND(ISNUMBER(O63),ISNUMBER(N63),O63&lt;N63),"Austritt vor Eintritt; ","")&amp;IF(AND(ISNUMBER(AU63),ISNUMBER(AV63),AU63&lt;AV63),"Urlaub unter gesetzl. Minimum; ","")&amp;IF(AND(ISNUMBER(AC63),ISNUMBER(AF63),ABS(N(AC63)-N(AF63))&gt;0.01),"Wochenstd. weichen vom Modell ab; ","")&amp;IF(AND(AI63="Ja",OR(AJ63="",AK63="")),"Kontogrenzen fehlen; ","")&amp;IF(AND(AL63="Mit Gehalt abgegolten (Pauschale)",AM63=""),"Überstunden-Pauschale fehlt; ","")))</f>
        <v/>
      </c>
      <c r="BH63" s="38"/>
    </row>
    <row r="64" customFormat="false" ht="15" hidden="false" customHeight="false" outlineLevel="0" collapsed="false">
      <c r="A64" s="37"/>
      <c r="B64" s="38"/>
      <c r="C64" s="38"/>
      <c r="D64" s="38"/>
      <c r="E64" s="38"/>
      <c r="F64" s="39"/>
      <c r="G64" s="38"/>
      <c r="H64" s="38"/>
      <c r="I64" s="37"/>
      <c r="J64" s="38"/>
      <c r="K64" s="38"/>
      <c r="L64" s="38"/>
      <c r="M64" s="38"/>
      <c r="N64" s="39"/>
      <c r="O64" s="39"/>
      <c r="P64" s="38"/>
      <c r="Q64" s="38"/>
      <c r="R64" s="38"/>
      <c r="S64" s="39"/>
      <c r="T64" s="39"/>
      <c r="U64" s="38"/>
      <c r="V64" s="38"/>
      <c r="W64" s="37"/>
      <c r="X64" s="38"/>
      <c r="Y64" s="38"/>
      <c r="Z64" s="37"/>
      <c r="AA64" s="38"/>
      <c r="AB64" s="38"/>
      <c r="AC64" s="40"/>
      <c r="AD64" s="41"/>
      <c r="AE64" s="42" t="str">
        <f aca="false">IF(OR(A64="",NOT(ISNUMBER(AC64)),NOT(ISNUMBER(AD64))),"",IF(AD64&gt;0,AC64/AD64,""))</f>
        <v/>
      </c>
      <c r="AF64" s="42" t="str">
        <f aca="false">IF(OR(A64="",AB64=""),"",IFERROR(INDEX(Arbeitszeitmodelle!$C$5:$C$34,MATCH(AB64,Arbeitszeitmodelle!$A$5:$A$34,0)),""))</f>
        <v/>
      </c>
      <c r="AG64" s="38"/>
      <c r="AH64" s="38"/>
      <c r="AI64" s="38"/>
      <c r="AJ64" s="41"/>
      <c r="AK64" s="41"/>
      <c r="AL64" s="38"/>
      <c r="AM64" s="41"/>
      <c r="AN64" s="38"/>
      <c r="AO64" s="38"/>
      <c r="AP64" s="38"/>
      <c r="AQ64" s="38"/>
      <c r="AR64" s="41"/>
      <c r="AS64" s="40"/>
      <c r="AT64" s="39"/>
      <c r="AU64" s="41"/>
      <c r="AV64" s="43" t="str">
        <f aca="false">IF(OR(A64="",NOT(ISNUMBER(AD64))),"",P_MinUrlaubWerktage/6*AD64)</f>
        <v/>
      </c>
      <c r="AW64" s="43" t="str">
        <f aca="false">IF(A64="","",IF(M64="Ja",P_ZusatzSB*IF(ISNUMBER(AD64),AD64,5)/5,0))</f>
        <v/>
      </c>
      <c r="AX64" s="41"/>
      <c r="AY64" s="39"/>
      <c r="AZ64" s="43" t="str">
        <f aca="false">IF(OR(A64="",NOT(ISNUMBER(AU64))),"",SUM(AU64,AW64,AX64))</f>
        <v/>
      </c>
      <c r="BA64" s="38"/>
      <c r="BB64" s="44"/>
      <c r="BC64" s="44"/>
      <c r="BD64" s="45" t="str">
        <f aca="false">IF(A64="","",IF(BA64="Stundenlohn",IF(ISNUMBER(BC64),BC64,""),IF(AND(ISNUMBER(BB64),ISNUMBER(AC64)),IF(AC64&gt;0,BB64*12/(AC64*52),""),"")))</f>
        <v/>
      </c>
      <c r="BE64" s="46" t="str">
        <f aca="false">IF(OR(A64="",NOT(ISNUMBER(F64))),"",IFERROR(DATEDIF(F64,P_Stichtag,"Y"),""))</f>
        <v/>
      </c>
      <c r="BF64" s="47" t="str">
        <f aca="false">IF(OR(A64="",NOT(ISNUMBER(BE64))),"",IF(BE64&lt;18,"Ja","Nein"))</f>
        <v/>
      </c>
      <c r="BG64" s="48" t="str">
        <f aca="false">IF(A64="","",IF((IF(OR(B64="",C64="",F64="",N64="",Q64="",AB64="",AC64="",AD64="",AU64=""),"Pflichtfelder fehlen; ","")&amp;IF(AND(ISNUMBER(AC64),AC64&gt;P_MaxWoche),"Wochenstunden &gt; Prüfgrenze; ","")&amp;IF(AND(BF64="Ja",ISNUMBER(AC64),AC64&gt;P_MaxWocheJugend),"Jugendlicher &gt; 40 h/Woche; ","")&amp;IF(AND(ISNUMBER(BD64),BD64&lt;P_Mindestlohn,Q64&lt;&gt;"Auszubildende/r",Q64&lt;&gt;"Praktikant/in"),"Mindestlohn unterschritten?; ","")&amp;IF(AND(Q64="Minijob (geringfügig)",ISNUMBER(BB64),BB64&gt;P_Minijob),"Minijob-Grenze überschritten; ","")&amp;IF(AND(R64="Ja",S64=""),"Befristung ohne Enddatum; ","")&amp;IF(AND(ISNUMBER(O64),ISNUMBER(N64),O64&lt;N64),"Austritt vor Eintritt; ","")&amp;IF(AND(ISNUMBER(AU64),ISNUMBER(AV64),AU64&lt;AV64),"Urlaub unter gesetzl. Minimum; ","")&amp;IF(AND(ISNUMBER(AC64),ISNUMBER(AF64),ABS(N(AC64)-N(AF64))&gt;0.01),"Wochenstd. weichen vom Modell ab; ","")&amp;IF(AND(AI64="Ja",OR(AJ64="",AK64="")),"Kontogrenzen fehlen; ","")&amp;IF(AND(AL64="Mit Gehalt abgegolten (Pauschale)",AM64=""),"Überstunden-Pauschale fehlt; ",""))="","OK",IF(OR(B64="",C64="",F64="",N64="",Q64="",AB64="",AC64="",AD64="",AU64=""),"Pflichtfelder fehlen; ","")&amp;IF(AND(ISNUMBER(AC64),AC64&gt;P_MaxWoche),"Wochenstunden &gt; Prüfgrenze; ","")&amp;IF(AND(BF64="Ja",ISNUMBER(AC64),AC64&gt;P_MaxWocheJugend),"Jugendlicher &gt; 40 h/Woche; ","")&amp;IF(AND(ISNUMBER(BD64),BD64&lt;P_Mindestlohn,Q64&lt;&gt;"Auszubildende/r",Q64&lt;&gt;"Praktikant/in"),"Mindestlohn unterschritten?; ","")&amp;IF(AND(Q64="Minijob (geringfügig)",ISNUMBER(BB64),BB64&gt;P_Minijob),"Minijob-Grenze überschritten; ","")&amp;IF(AND(R64="Ja",S64=""),"Befristung ohne Enddatum; ","")&amp;IF(AND(ISNUMBER(O64),ISNUMBER(N64),O64&lt;N64),"Austritt vor Eintritt; ","")&amp;IF(AND(ISNUMBER(AU64),ISNUMBER(AV64),AU64&lt;AV64),"Urlaub unter gesetzl. Minimum; ","")&amp;IF(AND(ISNUMBER(AC64),ISNUMBER(AF64),ABS(N(AC64)-N(AF64))&gt;0.01),"Wochenstd. weichen vom Modell ab; ","")&amp;IF(AND(AI64="Ja",OR(AJ64="",AK64="")),"Kontogrenzen fehlen; ","")&amp;IF(AND(AL64="Mit Gehalt abgegolten (Pauschale)",AM64=""),"Überstunden-Pauschale fehlt; ","")))</f>
        <v/>
      </c>
      <c r="BH64" s="38"/>
    </row>
    <row r="65" customFormat="false" ht="15" hidden="false" customHeight="false" outlineLevel="0" collapsed="false">
      <c r="A65" s="37"/>
      <c r="B65" s="38"/>
      <c r="C65" s="38"/>
      <c r="D65" s="38"/>
      <c r="E65" s="38"/>
      <c r="F65" s="39"/>
      <c r="G65" s="38"/>
      <c r="H65" s="38"/>
      <c r="I65" s="37"/>
      <c r="J65" s="38"/>
      <c r="K65" s="38"/>
      <c r="L65" s="38"/>
      <c r="M65" s="38"/>
      <c r="N65" s="39"/>
      <c r="O65" s="39"/>
      <c r="P65" s="38"/>
      <c r="Q65" s="38"/>
      <c r="R65" s="38"/>
      <c r="S65" s="39"/>
      <c r="T65" s="39"/>
      <c r="U65" s="38"/>
      <c r="V65" s="38"/>
      <c r="W65" s="37"/>
      <c r="X65" s="38"/>
      <c r="Y65" s="38"/>
      <c r="Z65" s="37"/>
      <c r="AA65" s="38"/>
      <c r="AB65" s="38"/>
      <c r="AC65" s="40"/>
      <c r="AD65" s="41"/>
      <c r="AE65" s="42" t="str">
        <f aca="false">IF(OR(A65="",NOT(ISNUMBER(AC65)),NOT(ISNUMBER(AD65))),"",IF(AD65&gt;0,AC65/AD65,""))</f>
        <v/>
      </c>
      <c r="AF65" s="42" t="str">
        <f aca="false">IF(OR(A65="",AB65=""),"",IFERROR(INDEX(Arbeitszeitmodelle!$C$5:$C$34,MATCH(AB65,Arbeitszeitmodelle!$A$5:$A$34,0)),""))</f>
        <v/>
      </c>
      <c r="AG65" s="38"/>
      <c r="AH65" s="38"/>
      <c r="AI65" s="38"/>
      <c r="AJ65" s="41"/>
      <c r="AK65" s="41"/>
      <c r="AL65" s="38"/>
      <c r="AM65" s="41"/>
      <c r="AN65" s="38"/>
      <c r="AO65" s="38"/>
      <c r="AP65" s="38"/>
      <c r="AQ65" s="38"/>
      <c r="AR65" s="41"/>
      <c r="AS65" s="40"/>
      <c r="AT65" s="39"/>
      <c r="AU65" s="41"/>
      <c r="AV65" s="43" t="str">
        <f aca="false">IF(OR(A65="",NOT(ISNUMBER(AD65))),"",P_MinUrlaubWerktage/6*AD65)</f>
        <v/>
      </c>
      <c r="AW65" s="43" t="str">
        <f aca="false">IF(A65="","",IF(M65="Ja",P_ZusatzSB*IF(ISNUMBER(AD65),AD65,5)/5,0))</f>
        <v/>
      </c>
      <c r="AX65" s="41"/>
      <c r="AY65" s="39"/>
      <c r="AZ65" s="43" t="str">
        <f aca="false">IF(OR(A65="",NOT(ISNUMBER(AU65))),"",SUM(AU65,AW65,AX65))</f>
        <v/>
      </c>
      <c r="BA65" s="38"/>
      <c r="BB65" s="44"/>
      <c r="BC65" s="44"/>
      <c r="BD65" s="45" t="str">
        <f aca="false">IF(A65="","",IF(BA65="Stundenlohn",IF(ISNUMBER(BC65),BC65,""),IF(AND(ISNUMBER(BB65),ISNUMBER(AC65)),IF(AC65&gt;0,BB65*12/(AC65*52),""),"")))</f>
        <v/>
      </c>
      <c r="BE65" s="46" t="str">
        <f aca="false">IF(OR(A65="",NOT(ISNUMBER(F65))),"",IFERROR(DATEDIF(F65,P_Stichtag,"Y"),""))</f>
        <v/>
      </c>
      <c r="BF65" s="47" t="str">
        <f aca="false">IF(OR(A65="",NOT(ISNUMBER(BE65))),"",IF(BE65&lt;18,"Ja","Nein"))</f>
        <v/>
      </c>
      <c r="BG65" s="48" t="str">
        <f aca="false">IF(A65="","",IF((IF(OR(B65="",C65="",F65="",N65="",Q65="",AB65="",AC65="",AD65="",AU65=""),"Pflichtfelder fehlen; ","")&amp;IF(AND(ISNUMBER(AC65),AC65&gt;P_MaxWoche),"Wochenstunden &gt; Prüfgrenze; ","")&amp;IF(AND(BF65="Ja",ISNUMBER(AC65),AC65&gt;P_MaxWocheJugend),"Jugendlicher &gt; 40 h/Woche; ","")&amp;IF(AND(ISNUMBER(BD65),BD65&lt;P_Mindestlohn,Q65&lt;&gt;"Auszubildende/r",Q65&lt;&gt;"Praktikant/in"),"Mindestlohn unterschritten?; ","")&amp;IF(AND(Q65="Minijob (geringfügig)",ISNUMBER(BB65),BB65&gt;P_Minijob),"Minijob-Grenze überschritten; ","")&amp;IF(AND(R65="Ja",S65=""),"Befristung ohne Enddatum; ","")&amp;IF(AND(ISNUMBER(O65),ISNUMBER(N65),O65&lt;N65),"Austritt vor Eintritt; ","")&amp;IF(AND(ISNUMBER(AU65),ISNUMBER(AV65),AU65&lt;AV65),"Urlaub unter gesetzl. Minimum; ","")&amp;IF(AND(ISNUMBER(AC65),ISNUMBER(AF65),ABS(N(AC65)-N(AF65))&gt;0.01),"Wochenstd. weichen vom Modell ab; ","")&amp;IF(AND(AI65="Ja",OR(AJ65="",AK65="")),"Kontogrenzen fehlen; ","")&amp;IF(AND(AL65="Mit Gehalt abgegolten (Pauschale)",AM65=""),"Überstunden-Pauschale fehlt; ",""))="","OK",IF(OR(B65="",C65="",F65="",N65="",Q65="",AB65="",AC65="",AD65="",AU65=""),"Pflichtfelder fehlen; ","")&amp;IF(AND(ISNUMBER(AC65),AC65&gt;P_MaxWoche),"Wochenstunden &gt; Prüfgrenze; ","")&amp;IF(AND(BF65="Ja",ISNUMBER(AC65),AC65&gt;P_MaxWocheJugend),"Jugendlicher &gt; 40 h/Woche; ","")&amp;IF(AND(ISNUMBER(BD65),BD65&lt;P_Mindestlohn,Q65&lt;&gt;"Auszubildende/r",Q65&lt;&gt;"Praktikant/in"),"Mindestlohn unterschritten?; ","")&amp;IF(AND(Q65="Minijob (geringfügig)",ISNUMBER(BB65),BB65&gt;P_Minijob),"Minijob-Grenze überschritten; ","")&amp;IF(AND(R65="Ja",S65=""),"Befristung ohne Enddatum; ","")&amp;IF(AND(ISNUMBER(O65),ISNUMBER(N65),O65&lt;N65),"Austritt vor Eintritt; ","")&amp;IF(AND(ISNUMBER(AU65),ISNUMBER(AV65),AU65&lt;AV65),"Urlaub unter gesetzl. Minimum; ","")&amp;IF(AND(ISNUMBER(AC65),ISNUMBER(AF65),ABS(N(AC65)-N(AF65))&gt;0.01),"Wochenstd. weichen vom Modell ab; ","")&amp;IF(AND(AI65="Ja",OR(AJ65="",AK65="")),"Kontogrenzen fehlen; ","")&amp;IF(AND(AL65="Mit Gehalt abgegolten (Pauschale)",AM65=""),"Überstunden-Pauschale fehlt; ","")))</f>
        <v/>
      </c>
      <c r="BH65" s="38"/>
    </row>
    <row r="66" customFormat="false" ht="15" hidden="false" customHeight="false" outlineLevel="0" collapsed="false">
      <c r="A66" s="37"/>
      <c r="B66" s="38"/>
      <c r="C66" s="38"/>
      <c r="D66" s="38"/>
      <c r="E66" s="38"/>
      <c r="F66" s="39"/>
      <c r="G66" s="38"/>
      <c r="H66" s="38"/>
      <c r="I66" s="37"/>
      <c r="J66" s="38"/>
      <c r="K66" s="38"/>
      <c r="L66" s="38"/>
      <c r="M66" s="38"/>
      <c r="N66" s="39"/>
      <c r="O66" s="39"/>
      <c r="P66" s="38"/>
      <c r="Q66" s="38"/>
      <c r="R66" s="38"/>
      <c r="S66" s="39"/>
      <c r="T66" s="39"/>
      <c r="U66" s="38"/>
      <c r="V66" s="38"/>
      <c r="W66" s="37"/>
      <c r="X66" s="38"/>
      <c r="Y66" s="38"/>
      <c r="Z66" s="37"/>
      <c r="AA66" s="38"/>
      <c r="AB66" s="38"/>
      <c r="AC66" s="40"/>
      <c r="AD66" s="41"/>
      <c r="AE66" s="42" t="str">
        <f aca="false">IF(OR(A66="",NOT(ISNUMBER(AC66)),NOT(ISNUMBER(AD66))),"",IF(AD66&gt;0,AC66/AD66,""))</f>
        <v/>
      </c>
      <c r="AF66" s="42" t="str">
        <f aca="false">IF(OR(A66="",AB66=""),"",IFERROR(INDEX(Arbeitszeitmodelle!$C$5:$C$34,MATCH(AB66,Arbeitszeitmodelle!$A$5:$A$34,0)),""))</f>
        <v/>
      </c>
      <c r="AG66" s="38"/>
      <c r="AH66" s="38"/>
      <c r="AI66" s="38"/>
      <c r="AJ66" s="41"/>
      <c r="AK66" s="41"/>
      <c r="AL66" s="38"/>
      <c r="AM66" s="41"/>
      <c r="AN66" s="38"/>
      <c r="AO66" s="38"/>
      <c r="AP66" s="38"/>
      <c r="AQ66" s="38"/>
      <c r="AR66" s="41"/>
      <c r="AS66" s="40"/>
      <c r="AT66" s="39"/>
      <c r="AU66" s="41"/>
      <c r="AV66" s="43" t="str">
        <f aca="false">IF(OR(A66="",NOT(ISNUMBER(AD66))),"",P_MinUrlaubWerktage/6*AD66)</f>
        <v/>
      </c>
      <c r="AW66" s="43" t="str">
        <f aca="false">IF(A66="","",IF(M66="Ja",P_ZusatzSB*IF(ISNUMBER(AD66),AD66,5)/5,0))</f>
        <v/>
      </c>
      <c r="AX66" s="41"/>
      <c r="AY66" s="39"/>
      <c r="AZ66" s="43" t="str">
        <f aca="false">IF(OR(A66="",NOT(ISNUMBER(AU66))),"",SUM(AU66,AW66,AX66))</f>
        <v/>
      </c>
      <c r="BA66" s="38"/>
      <c r="BB66" s="44"/>
      <c r="BC66" s="44"/>
      <c r="BD66" s="45" t="str">
        <f aca="false">IF(A66="","",IF(BA66="Stundenlohn",IF(ISNUMBER(BC66),BC66,""),IF(AND(ISNUMBER(BB66),ISNUMBER(AC66)),IF(AC66&gt;0,BB66*12/(AC66*52),""),"")))</f>
        <v/>
      </c>
      <c r="BE66" s="46" t="str">
        <f aca="false">IF(OR(A66="",NOT(ISNUMBER(F66))),"",IFERROR(DATEDIF(F66,P_Stichtag,"Y"),""))</f>
        <v/>
      </c>
      <c r="BF66" s="47" t="str">
        <f aca="false">IF(OR(A66="",NOT(ISNUMBER(BE66))),"",IF(BE66&lt;18,"Ja","Nein"))</f>
        <v/>
      </c>
      <c r="BG66" s="48" t="str">
        <f aca="false">IF(A66="","",IF((IF(OR(B66="",C66="",F66="",N66="",Q66="",AB66="",AC66="",AD66="",AU66=""),"Pflichtfelder fehlen; ","")&amp;IF(AND(ISNUMBER(AC66),AC66&gt;P_MaxWoche),"Wochenstunden &gt; Prüfgrenze; ","")&amp;IF(AND(BF66="Ja",ISNUMBER(AC66),AC66&gt;P_MaxWocheJugend),"Jugendlicher &gt; 40 h/Woche; ","")&amp;IF(AND(ISNUMBER(BD66),BD66&lt;P_Mindestlohn,Q66&lt;&gt;"Auszubildende/r",Q66&lt;&gt;"Praktikant/in"),"Mindestlohn unterschritten?; ","")&amp;IF(AND(Q66="Minijob (geringfügig)",ISNUMBER(BB66),BB66&gt;P_Minijob),"Minijob-Grenze überschritten; ","")&amp;IF(AND(R66="Ja",S66=""),"Befristung ohne Enddatum; ","")&amp;IF(AND(ISNUMBER(O66),ISNUMBER(N66),O66&lt;N66),"Austritt vor Eintritt; ","")&amp;IF(AND(ISNUMBER(AU66),ISNUMBER(AV66),AU66&lt;AV66),"Urlaub unter gesetzl. Minimum; ","")&amp;IF(AND(ISNUMBER(AC66),ISNUMBER(AF66),ABS(N(AC66)-N(AF66))&gt;0.01),"Wochenstd. weichen vom Modell ab; ","")&amp;IF(AND(AI66="Ja",OR(AJ66="",AK66="")),"Kontogrenzen fehlen; ","")&amp;IF(AND(AL66="Mit Gehalt abgegolten (Pauschale)",AM66=""),"Überstunden-Pauschale fehlt; ",""))="","OK",IF(OR(B66="",C66="",F66="",N66="",Q66="",AB66="",AC66="",AD66="",AU66=""),"Pflichtfelder fehlen; ","")&amp;IF(AND(ISNUMBER(AC66),AC66&gt;P_MaxWoche),"Wochenstunden &gt; Prüfgrenze; ","")&amp;IF(AND(BF66="Ja",ISNUMBER(AC66),AC66&gt;P_MaxWocheJugend),"Jugendlicher &gt; 40 h/Woche; ","")&amp;IF(AND(ISNUMBER(BD66),BD66&lt;P_Mindestlohn,Q66&lt;&gt;"Auszubildende/r",Q66&lt;&gt;"Praktikant/in"),"Mindestlohn unterschritten?; ","")&amp;IF(AND(Q66="Minijob (geringfügig)",ISNUMBER(BB66),BB66&gt;P_Minijob),"Minijob-Grenze überschritten; ","")&amp;IF(AND(R66="Ja",S66=""),"Befristung ohne Enddatum; ","")&amp;IF(AND(ISNUMBER(O66),ISNUMBER(N66),O66&lt;N66),"Austritt vor Eintritt; ","")&amp;IF(AND(ISNUMBER(AU66),ISNUMBER(AV66),AU66&lt;AV66),"Urlaub unter gesetzl. Minimum; ","")&amp;IF(AND(ISNUMBER(AC66),ISNUMBER(AF66),ABS(N(AC66)-N(AF66))&gt;0.01),"Wochenstd. weichen vom Modell ab; ","")&amp;IF(AND(AI66="Ja",OR(AJ66="",AK66="")),"Kontogrenzen fehlen; ","")&amp;IF(AND(AL66="Mit Gehalt abgegolten (Pauschale)",AM66=""),"Überstunden-Pauschale fehlt; ","")))</f>
        <v/>
      </c>
      <c r="BH66" s="38"/>
    </row>
    <row r="67" customFormat="false" ht="15" hidden="false" customHeight="false" outlineLevel="0" collapsed="false">
      <c r="A67" s="37"/>
      <c r="B67" s="38"/>
      <c r="C67" s="38"/>
      <c r="D67" s="38"/>
      <c r="E67" s="38"/>
      <c r="F67" s="39"/>
      <c r="G67" s="38"/>
      <c r="H67" s="38"/>
      <c r="I67" s="37"/>
      <c r="J67" s="38"/>
      <c r="K67" s="38"/>
      <c r="L67" s="38"/>
      <c r="M67" s="38"/>
      <c r="N67" s="39"/>
      <c r="O67" s="39"/>
      <c r="P67" s="38"/>
      <c r="Q67" s="38"/>
      <c r="R67" s="38"/>
      <c r="S67" s="39"/>
      <c r="T67" s="39"/>
      <c r="U67" s="38"/>
      <c r="V67" s="38"/>
      <c r="W67" s="37"/>
      <c r="X67" s="38"/>
      <c r="Y67" s="38"/>
      <c r="Z67" s="37"/>
      <c r="AA67" s="38"/>
      <c r="AB67" s="38"/>
      <c r="AC67" s="40"/>
      <c r="AD67" s="41"/>
      <c r="AE67" s="42" t="str">
        <f aca="false">IF(OR(A67="",NOT(ISNUMBER(AC67)),NOT(ISNUMBER(AD67))),"",IF(AD67&gt;0,AC67/AD67,""))</f>
        <v/>
      </c>
      <c r="AF67" s="42" t="str">
        <f aca="false">IF(OR(A67="",AB67=""),"",IFERROR(INDEX(Arbeitszeitmodelle!$C$5:$C$34,MATCH(AB67,Arbeitszeitmodelle!$A$5:$A$34,0)),""))</f>
        <v/>
      </c>
      <c r="AG67" s="38"/>
      <c r="AH67" s="38"/>
      <c r="AI67" s="38"/>
      <c r="AJ67" s="41"/>
      <c r="AK67" s="41"/>
      <c r="AL67" s="38"/>
      <c r="AM67" s="41"/>
      <c r="AN67" s="38"/>
      <c r="AO67" s="38"/>
      <c r="AP67" s="38"/>
      <c r="AQ67" s="38"/>
      <c r="AR67" s="41"/>
      <c r="AS67" s="40"/>
      <c r="AT67" s="39"/>
      <c r="AU67" s="41"/>
      <c r="AV67" s="43" t="str">
        <f aca="false">IF(OR(A67="",NOT(ISNUMBER(AD67))),"",P_MinUrlaubWerktage/6*AD67)</f>
        <v/>
      </c>
      <c r="AW67" s="43" t="str">
        <f aca="false">IF(A67="","",IF(M67="Ja",P_ZusatzSB*IF(ISNUMBER(AD67),AD67,5)/5,0))</f>
        <v/>
      </c>
      <c r="AX67" s="41"/>
      <c r="AY67" s="39"/>
      <c r="AZ67" s="43" t="str">
        <f aca="false">IF(OR(A67="",NOT(ISNUMBER(AU67))),"",SUM(AU67,AW67,AX67))</f>
        <v/>
      </c>
      <c r="BA67" s="38"/>
      <c r="BB67" s="44"/>
      <c r="BC67" s="44"/>
      <c r="BD67" s="45" t="str">
        <f aca="false">IF(A67="","",IF(BA67="Stundenlohn",IF(ISNUMBER(BC67),BC67,""),IF(AND(ISNUMBER(BB67),ISNUMBER(AC67)),IF(AC67&gt;0,BB67*12/(AC67*52),""),"")))</f>
        <v/>
      </c>
      <c r="BE67" s="46" t="str">
        <f aca="false">IF(OR(A67="",NOT(ISNUMBER(F67))),"",IFERROR(DATEDIF(F67,P_Stichtag,"Y"),""))</f>
        <v/>
      </c>
      <c r="BF67" s="47" t="str">
        <f aca="false">IF(OR(A67="",NOT(ISNUMBER(BE67))),"",IF(BE67&lt;18,"Ja","Nein"))</f>
        <v/>
      </c>
      <c r="BG67" s="48" t="str">
        <f aca="false">IF(A67="","",IF((IF(OR(B67="",C67="",F67="",N67="",Q67="",AB67="",AC67="",AD67="",AU67=""),"Pflichtfelder fehlen; ","")&amp;IF(AND(ISNUMBER(AC67),AC67&gt;P_MaxWoche),"Wochenstunden &gt; Prüfgrenze; ","")&amp;IF(AND(BF67="Ja",ISNUMBER(AC67),AC67&gt;P_MaxWocheJugend),"Jugendlicher &gt; 40 h/Woche; ","")&amp;IF(AND(ISNUMBER(BD67),BD67&lt;P_Mindestlohn,Q67&lt;&gt;"Auszubildende/r",Q67&lt;&gt;"Praktikant/in"),"Mindestlohn unterschritten?; ","")&amp;IF(AND(Q67="Minijob (geringfügig)",ISNUMBER(BB67),BB67&gt;P_Minijob),"Minijob-Grenze überschritten; ","")&amp;IF(AND(R67="Ja",S67=""),"Befristung ohne Enddatum; ","")&amp;IF(AND(ISNUMBER(O67),ISNUMBER(N67),O67&lt;N67),"Austritt vor Eintritt; ","")&amp;IF(AND(ISNUMBER(AU67),ISNUMBER(AV67),AU67&lt;AV67),"Urlaub unter gesetzl. Minimum; ","")&amp;IF(AND(ISNUMBER(AC67),ISNUMBER(AF67),ABS(N(AC67)-N(AF67))&gt;0.01),"Wochenstd. weichen vom Modell ab; ","")&amp;IF(AND(AI67="Ja",OR(AJ67="",AK67="")),"Kontogrenzen fehlen; ","")&amp;IF(AND(AL67="Mit Gehalt abgegolten (Pauschale)",AM67=""),"Überstunden-Pauschale fehlt; ",""))="","OK",IF(OR(B67="",C67="",F67="",N67="",Q67="",AB67="",AC67="",AD67="",AU67=""),"Pflichtfelder fehlen; ","")&amp;IF(AND(ISNUMBER(AC67),AC67&gt;P_MaxWoche),"Wochenstunden &gt; Prüfgrenze; ","")&amp;IF(AND(BF67="Ja",ISNUMBER(AC67),AC67&gt;P_MaxWocheJugend),"Jugendlicher &gt; 40 h/Woche; ","")&amp;IF(AND(ISNUMBER(BD67),BD67&lt;P_Mindestlohn,Q67&lt;&gt;"Auszubildende/r",Q67&lt;&gt;"Praktikant/in"),"Mindestlohn unterschritten?; ","")&amp;IF(AND(Q67="Minijob (geringfügig)",ISNUMBER(BB67),BB67&gt;P_Minijob),"Minijob-Grenze überschritten; ","")&amp;IF(AND(R67="Ja",S67=""),"Befristung ohne Enddatum; ","")&amp;IF(AND(ISNUMBER(O67),ISNUMBER(N67),O67&lt;N67),"Austritt vor Eintritt; ","")&amp;IF(AND(ISNUMBER(AU67),ISNUMBER(AV67),AU67&lt;AV67),"Urlaub unter gesetzl. Minimum; ","")&amp;IF(AND(ISNUMBER(AC67),ISNUMBER(AF67),ABS(N(AC67)-N(AF67))&gt;0.01),"Wochenstd. weichen vom Modell ab; ","")&amp;IF(AND(AI67="Ja",OR(AJ67="",AK67="")),"Kontogrenzen fehlen; ","")&amp;IF(AND(AL67="Mit Gehalt abgegolten (Pauschale)",AM67=""),"Überstunden-Pauschale fehlt; ","")))</f>
        <v/>
      </c>
      <c r="BH67" s="38"/>
    </row>
    <row r="68" customFormat="false" ht="15" hidden="false" customHeight="false" outlineLevel="0" collapsed="false">
      <c r="A68" s="37"/>
      <c r="B68" s="38"/>
      <c r="C68" s="38"/>
      <c r="D68" s="38"/>
      <c r="E68" s="38"/>
      <c r="F68" s="39"/>
      <c r="G68" s="38"/>
      <c r="H68" s="38"/>
      <c r="I68" s="37"/>
      <c r="J68" s="38"/>
      <c r="K68" s="38"/>
      <c r="L68" s="38"/>
      <c r="M68" s="38"/>
      <c r="N68" s="39"/>
      <c r="O68" s="39"/>
      <c r="P68" s="38"/>
      <c r="Q68" s="38"/>
      <c r="R68" s="38"/>
      <c r="S68" s="39"/>
      <c r="T68" s="39"/>
      <c r="U68" s="38"/>
      <c r="V68" s="38"/>
      <c r="W68" s="37"/>
      <c r="X68" s="38"/>
      <c r="Y68" s="38"/>
      <c r="Z68" s="37"/>
      <c r="AA68" s="38"/>
      <c r="AB68" s="38"/>
      <c r="AC68" s="40"/>
      <c r="AD68" s="41"/>
      <c r="AE68" s="42" t="str">
        <f aca="false">IF(OR(A68="",NOT(ISNUMBER(AC68)),NOT(ISNUMBER(AD68))),"",IF(AD68&gt;0,AC68/AD68,""))</f>
        <v/>
      </c>
      <c r="AF68" s="42" t="str">
        <f aca="false">IF(OR(A68="",AB68=""),"",IFERROR(INDEX(Arbeitszeitmodelle!$C$5:$C$34,MATCH(AB68,Arbeitszeitmodelle!$A$5:$A$34,0)),""))</f>
        <v/>
      </c>
      <c r="AG68" s="38"/>
      <c r="AH68" s="38"/>
      <c r="AI68" s="38"/>
      <c r="AJ68" s="41"/>
      <c r="AK68" s="41"/>
      <c r="AL68" s="38"/>
      <c r="AM68" s="41"/>
      <c r="AN68" s="38"/>
      <c r="AO68" s="38"/>
      <c r="AP68" s="38"/>
      <c r="AQ68" s="38"/>
      <c r="AR68" s="41"/>
      <c r="AS68" s="40"/>
      <c r="AT68" s="39"/>
      <c r="AU68" s="41"/>
      <c r="AV68" s="43" t="str">
        <f aca="false">IF(OR(A68="",NOT(ISNUMBER(AD68))),"",P_MinUrlaubWerktage/6*AD68)</f>
        <v/>
      </c>
      <c r="AW68" s="43" t="str">
        <f aca="false">IF(A68="","",IF(M68="Ja",P_ZusatzSB*IF(ISNUMBER(AD68),AD68,5)/5,0))</f>
        <v/>
      </c>
      <c r="AX68" s="41"/>
      <c r="AY68" s="39"/>
      <c r="AZ68" s="43" t="str">
        <f aca="false">IF(OR(A68="",NOT(ISNUMBER(AU68))),"",SUM(AU68,AW68,AX68))</f>
        <v/>
      </c>
      <c r="BA68" s="38"/>
      <c r="BB68" s="44"/>
      <c r="BC68" s="44"/>
      <c r="BD68" s="45" t="str">
        <f aca="false">IF(A68="","",IF(BA68="Stundenlohn",IF(ISNUMBER(BC68),BC68,""),IF(AND(ISNUMBER(BB68),ISNUMBER(AC68)),IF(AC68&gt;0,BB68*12/(AC68*52),""),"")))</f>
        <v/>
      </c>
      <c r="BE68" s="46" t="str">
        <f aca="false">IF(OR(A68="",NOT(ISNUMBER(F68))),"",IFERROR(DATEDIF(F68,P_Stichtag,"Y"),""))</f>
        <v/>
      </c>
      <c r="BF68" s="47" t="str">
        <f aca="false">IF(OR(A68="",NOT(ISNUMBER(BE68))),"",IF(BE68&lt;18,"Ja","Nein"))</f>
        <v/>
      </c>
      <c r="BG68" s="48" t="str">
        <f aca="false">IF(A68="","",IF((IF(OR(B68="",C68="",F68="",N68="",Q68="",AB68="",AC68="",AD68="",AU68=""),"Pflichtfelder fehlen; ","")&amp;IF(AND(ISNUMBER(AC68),AC68&gt;P_MaxWoche),"Wochenstunden &gt; Prüfgrenze; ","")&amp;IF(AND(BF68="Ja",ISNUMBER(AC68),AC68&gt;P_MaxWocheJugend),"Jugendlicher &gt; 40 h/Woche; ","")&amp;IF(AND(ISNUMBER(BD68),BD68&lt;P_Mindestlohn,Q68&lt;&gt;"Auszubildende/r",Q68&lt;&gt;"Praktikant/in"),"Mindestlohn unterschritten?; ","")&amp;IF(AND(Q68="Minijob (geringfügig)",ISNUMBER(BB68),BB68&gt;P_Minijob),"Minijob-Grenze überschritten; ","")&amp;IF(AND(R68="Ja",S68=""),"Befristung ohne Enddatum; ","")&amp;IF(AND(ISNUMBER(O68),ISNUMBER(N68),O68&lt;N68),"Austritt vor Eintritt; ","")&amp;IF(AND(ISNUMBER(AU68),ISNUMBER(AV68),AU68&lt;AV68),"Urlaub unter gesetzl. Minimum; ","")&amp;IF(AND(ISNUMBER(AC68),ISNUMBER(AF68),ABS(N(AC68)-N(AF68))&gt;0.01),"Wochenstd. weichen vom Modell ab; ","")&amp;IF(AND(AI68="Ja",OR(AJ68="",AK68="")),"Kontogrenzen fehlen; ","")&amp;IF(AND(AL68="Mit Gehalt abgegolten (Pauschale)",AM68=""),"Überstunden-Pauschale fehlt; ",""))="","OK",IF(OR(B68="",C68="",F68="",N68="",Q68="",AB68="",AC68="",AD68="",AU68=""),"Pflichtfelder fehlen; ","")&amp;IF(AND(ISNUMBER(AC68),AC68&gt;P_MaxWoche),"Wochenstunden &gt; Prüfgrenze; ","")&amp;IF(AND(BF68="Ja",ISNUMBER(AC68),AC68&gt;P_MaxWocheJugend),"Jugendlicher &gt; 40 h/Woche; ","")&amp;IF(AND(ISNUMBER(BD68),BD68&lt;P_Mindestlohn,Q68&lt;&gt;"Auszubildende/r",Q68&lt;&gt;"Praktikant/in"),"Mindestlohn unterschritten?; ","")&amp;IF(AND(Q68="Minijob (geringfügig)",ISNUMBER(BB68),BB68&gt;P_Minijob),"Minijob-Grenze überschritten; ","")&amp;IF(AND(R68="Ja",S68=""),"Befristung ohne Enddatum; ","")&amp;IF(AND(ISNUMBER(O68),ISNUMBER(N68),O68&lt;N68),"Austritt vor Eintritt; ","")&amp;IF(AND(ISNUMBER(AU68),ISNUMBER(AV68),AU68&lt;AV68),"Urlaub unter gesetzl. Minimum; ","")&amp;IF(AND(ISNUMBER(AC68),ISNUMBER(AF68),ABS(N(AC68)-N(AF68))&gt;0.01),"Wochenstd. weichen vom Modell ab; ","")&amp;IF(AND(AI68="Ja",OR(AJ68="",AK68="")),"Kontogrenzen fehlen; ","")&amp;IF(AND(AL68="Mit Gehalt abgegolten (Pauschale)",AM68=""),"Überstunden-Pauschale fehlt; ","")))</f>
        <v/>
      </c>
      <c r="BH68" s="38"/>
    </row>
    <row r="69" customFormat="false" ht="15" hidden="false" customHeight="false" outlineLevel="0" collapsed="false">
      <c r="A69" s="37"/>
      <c r="B69" s="38"/>
      <c r="C69" s="38"/>
      <c r="D69" s="38"/>
      <c r="E69" s="38"/>
      <c r="F69" s="39"/>
      <c r="G69" s="38"/>
      <c r="H69" s="38"/>
      <c r="I69" s="37"/>
      <c r="J69" s="38"/>
      <c r="K69" s="38"/>
      <c r="L69" s="38"/>
      <c r="M69" s="38"/>
      <c r="N69" s="39"/>
      <c r="O69" s="39"/>
      <c r="P69" s="38"/>
      <c r="Q69" s="38"/>
      <c r="R69" s="38"/>
      <c r="S69" s="39"/>
      <c r="T69" s="39"/>
      <c r="U69" s="38"/>
      <c r="V69" s="38"/>
      <c r="W69" s="37"/>
      <c r="X69" s="38"/>
      <c r="Y69" s="38"/>
      <c r="Z69" s="37"/>
      <c r="AA69" s="38"/>
      <c r="AB69" s="38"/>
      <c r="AC69" s="40"/>
      <c r="AD69" s="41"/>
      <c r="AE69" s="42" t="str">
        <f aca="false">IF(OR(A69="",NOT(ISNUMBER(AC69)),NOT(ISNUMBER(AD69))),"",IF(AD69&gt;0,AC69/AD69,""))</f>
        <v/>
      </c>
      <c r="AF69" s="42" t="str">
        <f aca="false">IF(OR(A69="",AB69=""),"",IFERROR(INDEX(Arbeitszeitmodelle!$C$5:$C$34,MATCH(AB69,Arbeitszeitmodelle!$A$5:$A$34,0)),""))</f>
        <v/>
      </c>
      <c r="AG69" s="38"/>
      <c r="AH69" s="38"/>
      <c r="AI69" s="38"/>
      <c r="AJ69" s="41"/>
      <c r="AK69" s="41"/>
      <c r="AL69" s="38"/>
      <c r="AM69" s="41"/>
      <c r="AN69" s="38"/>
      <c r="AO69" s="38"/>
      <c r="AP69" s="38"/>
      <c r="AQ69" s="38"/>
      <c r="AR69" s="41"/>
      <c r="AS69" s="40"/>
      <c r="AT69" s="39"/>
      <c r="AU69" s="41"/>
      <c r="AV69" s="43" t="str">
        <f aca="false">IF(OR(A69="",NOT(ISNUMBER(AD69))),"",P_MinUrlaubWerktage/6*AD69)</f>
        <v/>
      </c>
      <c r="AW69" s="43" t="str">
        <f aca="false">IF(A69="","",IF(M69="Ja",P_ZusatzSB*IF(ISNUMBER(AD69),AD69,5)/5,0))</f>
        <v/>
      </c>
      <c r="AX69" s="41"/>
      <c r="AY69" s="39"/>
      <c r="AZ69" s="43" t="str">
        <f aca="false">IF(OR(A69="",NOT(ISNUMBER(AU69))),"",SUM(AU69,AW69,AX69))</f>
        <v/>
      </c>
      <c r="BA69" s="38"/>
      <c r="BB69" s="44"/>
      <c r="BC69" s="44"/>
      <c r="BD69" s="45" t="str">
        <f aca="false">IF(A69="","",IF(BA69="Stundenlohn",IF(ISNUMBER(BC69),BC69,""),IF(AND(ISNUMBER(BB69),ISNUMBER(AC69)),IF(AC69&gt;0,BB69*12/(AC69*52),""),"")))</f>
        <v/>
      </c>
      <c r="BE69" s="46" t="str">
        <f aca="false">IF(OR(A69="",NOT(ISNUMBER(F69))),"",IFERROR(DATEDIF(F69,P_Stichtag,"Y"),""))</f>
        <v/>
      </c>
      <c r="BF69" s="47" t="str">
        <f aca="false">IF(OR(A69="",NOT(ISNUMBER(BE69))),"",IF(BE69&lt;18,"Ja","Nein"))</f>
        <v/>
      </c>
      <c r="BG69" s="48" t="str">
        <f aca="false">IF(A69="","",IF((IF(OR(B69="",C69="",F69="",N69="",Q69="",AB69="",AC69="",AD69="",AU69=""),"Pflichtfelder fehlen; ","")&amp;IF(AND(ISNUMBER(AC69),AC69&gt;P_MaxWoche),"Wochenstunden &gt; Prüfgrenze; ","")&amp;IF(AND(BF69="Ja",ISNUMBER(AC69),AC69&gt;P_MaxWocheJugend),"Jugendlicher &gt; 40 h/Woche; ","")&amp;IF(AND(ISNUMBER(BD69),BD69&lt;P_Mindestlohn,Q69&lt;&gt;"Auszubildende/r",Q69&lt;&gt;"Praktikant/in"),"Mindestlohn unterschritten?; ","")&amp;IF(AND(Q69="Minijob (geringfügig)",ISNUMBER(BB69),BB69&gt;P_Minijob),"Minijob-Grenze überschritten; ","")&amp;IF(AND(R69="Ja",S69=""),"Befristung ohne Enddatum; ","")&amp;IF(AND(ISNUMBER(O69),ISNUMBER(N69),O69&lt;N69),"Austritt vor Eintritt; ","")&amp;IF(AND(ISNUMBER(AU69),ISNUMBER(AV69),AU69&lt;AV69),"Urlaub unter gesetzl. Minimum; ","")&amp;IF(AND(ISNUMBER(AC69),ISNUMBER(AF69),ABS(N(AC69)-N(AF69))&gt;0.01),"Wochenstd. weichen vom Modell ab; ","")&amp;IF(AND(AI69="Ja",OR(AJ69="",AK69="")),"Kontogrenzen fehlen; ","")&amp;IF(AND(AL69="Mit Gehalt abgegolten (Pauschale)",AM69=""),"Überstunden-Pauschale fehlt; ",""))="","OK",IF(OR(B69="",C69="",F69="",N69="",Q69="",AB69="",AC69="",AD69="",AU69=""),"Pflichtfelder fehlen; ","")&amp;IF(AND(ISNUMBER(AC69),AC69&gt;P_MaxWoche),"Wochenstunden &gt; Prüfgrenze; ","")&amp;IF(AND(BF69="Ja",ISNUMBER(AC69),AC69&gt;P_MaxWocheJugend),"Jugendlicher &gt; 40 h/Woche; ","")&amp;IF(AND(ISNUMBER(BD69),BD69&lt;P_Mindestlohn,Q69&lt;&gt;"Auszubildende/r",Q69&lt;&gt;"Praktikant/in"),"Mindestlohn unterschritten?; ","")&amp;IF(AND(Q69="Minijob (geringfügig)",ISNUMBER(BB69),BB69&gt;P_Minijob),"Minijob-Grenze überschritten; ","")&amp;IF(AND(R69="Ja",S69=""),"Befristung ohne Enddatum; ","")&amp;IF(AND(ISNUMBER(O69),ISNUMBER(N69),O69&lt;N69),"Austritt vor Eintritt; ","")&amp;IF(AND(ISNUMBER(AU69),ISNUMBER(AV69),AU69&lt;AV69),"Urlaub unter gesetzl. Minimum; ","")&amp;IF(AND(ISNUMBER(AC69),ISNUMBER(AF69),ABS(N(AC69)-N(AF69))&gt;0.01),"Wochenstd. weichen vom Modell ab; ","")&amp;IF(AND(AI69="Ja",OR(AJ69="",AK69="")),"Kontogrenzen fehlen; ","")&amp;IF(AND(AL69="Mit Gehalt abgegolten (Pauschale)",AM69=""),"Überstunden-Pauschale fehlt; ","")))</f>
        <v/>
      </c>
      <c r="BH69" s="38"/>
    </row>
    <row r="70" customFormat="false" ht="15" hidden="false" customHeight="false" outlineLevel="0" collapsed="false">
      <c r="A70" s="37"/>
      <c r="B70" s="38"/>
      <c r="C70" s="38"/>
      <c r="D70" s="38"/>
      <c r="E70" s="38"/>
      <c r="F70" s="39"/>
      <c r="G70" s="38"/>
      <c r="H70" s="38"/>
      <c r="I70" s="37"/>
      <c r="J70" s="38"/>
      <c r="K70" s="38"/>
      <c r="L70" s="38"/>
      <c r="M70" s="38"/>
      <c r="N70" s="39"/>
      <c r="O70" s="39"/>
      <c r="P70" s="38"/>
      <c r="Q70" s="38"/>
      <c r="R70" s="38"/>
      <c r="S70" s="39"/>
      <c r="T70" s="39"/>
      <c r="U70" s="38"/>
      <c r="V70" s="38"/>
      <c r="W70" s="37"/>
      <c r="X70" s="38"/>
      <c r="Y70" s="38"/>
      <c r="Z70" s="37"/>
      <c r="AA70" s="38"/>
      <c r="AB70" s="38"/>
      <c r="AC70" s="40"/>
      <c r="AD70" s="41"/>
      <c r="AE70" s="42" t="str">
        <f aca="false">IF(OR(A70="",NOT(ISNUMBER(AC70)),NOT(ISNUMBER(AD70))),"",IF(AD70&gt;0,AC70/AD70,""))</f>
        <v/>
      </c>
      <c r="AF70" s="42" t="str">
        <f aca="false">IF(OR(A70="",AB70=""),"",IFERROR(INDEX(Arbeitszeitmodelle!$C$5:$C$34,MATCH(AB70,Arbeitszeitmodelle!$A$5:$A$34,0)),""))</f>
        <v/>
      </c>
      <c r="AG70" s="38"/>
      <c r="AH70" s="38"/>
      <c r="AI70" s="38"/>
      <c r="AJ70" s="41"/>
      <c r="AK70" s="41"/>
      <c r="AL70" s="38"/>
      <c r="AM70" s="41"/>
      <c r="AN70" s="38"/>
      <c r="AO70" s="38"/>
      <c r="AP70" s="38"/>
      <c r="AQ70" s="38"/>
      <c r="AR70" s="41"/>
      <c r="AS70" s="40"/>
      <c r="AT70" s="39"/>
      <c r="AU70" s="41"/>
      <c r="AV70" s="43" t="str">
        <f aca="false">IF(OR(A70="",NOT(ISNUMBER(AD70))),"",P_MinUrlaubWerktage/6*AD70)</f>
        <v/>
      </c>
      <c r="AW70" s="43" t="str">
        <f aca="false">IF(A70="","",IF(M70="Ja",P_ZusatzSB*IF(ISNUMBER(AD70),AD70,5)/5,0))</f>
        <v/>
      </c>
      <c r="AX70" s="41"/>
      <c r="AY70" s="39"/>
      <c r="AZ70" s="43" t="str">
        <f aca="false">IF(OR(A70="",NOT(ISNUMBER(AU70))),"",SUM(AU70,AW70,AX70))</f>
        <v/>
      </c>
      <c r="BA70" s="38"/>
      <c r="BB70" s="44"/>
      <c r="BC70" s="44"/>
      <c r="BD70" s="45" t="str">
        <f aca="false">IF(A70="","",IF(BA70="Stundenlohn",IF(ISNUMBER(BC70),BC70,""),IF(AND(ISNUMBER(BB70),ISNUMBER(AC70)),IF(AC70&gt;0,BB70*12/(AC70*52),""),"")))</f>
        <v/>
      </c>
      <c r="BE70" s="46" t="str">
        <f aca="false">IF(OR(A70="",NOT(ISNUMBER(F70))),"",IFERROR(DATEDIF(F70,P_Stichtag,"Y"),""))</f>
        <v/>
      </c>
      <c r="BF70" s="47" t="str">
        <f aca="false">IF(OR(A70="",NOT(ISNUMBER(BE70))),"",IF(BE70&lt;18,"Ja","Nein"))</f>
        <v/>
      </c>
      <c r="BG70" s="48" t="str">
        <f aca="false">IF(A70="","",IF((IF(OR(B70="",C70="",F70="",N70="",Q70="",AB70="",AC70="",AD70="",AU70=""),"Pflichtfelder fehlen; ","")&amp;IF(AND(ISNUMBER(AC70),AC70&gt;P_MaxWoche),"Wochenstunden &gt; Prüfgrenze; ","")&amp;IF(AND(BF70="Ja",ISNUMBER(AC70),AC70&gt;P_MaxWocheJugend),"Jugendlicher &gt; 40 h/Woche; ","")&amp;IF(AND(ISNUMBER(BD70),BD70&lt;P_Mindestlohn,Q70&lt;&gt;"Auszubildende/r",Q70&lt;&gt;"Praktikant/in"),"Mindestlohn unterschritten?; ","")&amp;IF(AND(Q70="Minijob (geringfügig)",ISNUMBER(BB70),BB70&gt;P_Minijob),"Minijob-Grenze überschritten; ","")&amp;IF(AND(R70="Ja",S70=""),"Befristung ohne Enddatum; ","")&amp;IF(AND(ISNUMBER(O70),ISNUMBER(N70),O70&lt;N70),"Austritt vor Eintritt; ","")&amp;IF(AND(ISNUMBER(AU70),ISNUMBER(AV70),AU70&lt;AV70),"Urlaub unter gesetzl. Minimum; ","")&amp;IF(AND(ISNUMBER(AC70),ISNUMBER(AF70),ABS(N(AC70)-N(AF70))&gt;0.01),"Wochenstd. weichen vom Modell ab; ","")&amp;IF(AND(AI70="Ja",OR(AJ70="",AK70="")),"Kontogrenzen fehlen; ","")&amp;IF(AND(AL70="Mit Gehalt abgegolten (Pauschale)",AM70=""),"Überstunden-Pauschale fehlt; ",""))="","OK",IF(OR(B70="",C70="",F70="",N70="",Q70="",AB70="",AC70="",AD70="",AU70=""),"Pflichtfelder fehlen; ","")&amp;IF(AND(ISNUMBER(AC70),AC70&gt;P_MaxWoche),"Wochenstunden &gt; Prüfgrenze; ","")&amp;IF(AND(BF70="Ja",ISNUMBER(AC70),AC70&gt;P_MaxWocheJugend),"Jugendlicher &gt; 40 h/Woche; ","")&amp;IF(AND(ISNUMBER(BD70),BD70&lt;P_Mindestlohn,Q70&lt;&gt;"Auszubildende/r",Q70&lt;&gt;"Praktikant/in"),"Mindestlohn unterschritten?; ","")&amp;IF(AND(Q70="Minijob (geringfügig)",ISNUMBER(BB70),BB70&gt;P_Minijob),"Minijob-Grenze überschritten; ","")&amp;IF(AND(R70="Ja",S70=""),"Befristung ohne Enddatum; ","")&amp;IF(AND(ISNUMBER(O70),ISNUMBER(N70),O70&lt;N70),"Austritt vor Eintritt; ","")&amp;IF(AND(ISNUMBER(AU70),ISNUMBER(AV70),AU70&lt;AV70),"Urlaub unter gesetzl. Minimum; ","")&amp;IF(AND(ISNUMBER(AC70),ISNUMBER(AF70),ABS(N(AC70)-N(AF70))&gt;0.01),"Wochenstd. weichen vom Modell ab; ","")&amp;IF(AND(AI70="Ja",OR(AJ70="",AK70="")),"Kontogrenzen fehlen; ","")&amp;IF(AND(AL70="Mit Gehalt abgegolten (Pauschale)",AM70=""),"Überstunden-Pauschale fehlt; ","")))</f>
        <v/>
      </c>
      <c r="BH70" s="38"/>
    </row>
    <row r="71" customFormat="false" ht="15" hidden="false" customHeight="false" outlineLevel="0" collapsed="false">
      <c r="A71" s="37"/>
      <c r="B71" s="38"/>
      <c r="C71" s="38"/>
      <c r="D71" s="38"/>
      <c r="E71" s="38"/>
      <c r="F71" s="39"/>
      <c r="G71" s="38"/>
      <c r="H71" s="38"/>
      <c r="I71" s="37"/>
      <c r="J71" s="38"/>
      <c r="K71" s="38"/>
      <c r="L71" s="38"/>
      <c r="M71" s="38"/>
      <c r="N71" s="39"/>
      <c r="O71" s="39"/>
      <c r="P71" s="38"/>
      <c r="Q71" s="38"/>
      <c r="R71" s="38"/>
      <c r="S71" s="39"/>
      <c r="T71" s="39"/>
      <c r="U71" s="38"/>
      <c r="V71" s="38"/>
      <c r="W71" s="37"/>
      <c r="X71" s="38"/>
      <c r="Y71" s="38"/>
      <c r="Z71" s="37"/>
      <c r="AA71" s="38"/>
      <c r="AB71" s="38"/>
      <c r="AC71" s="40"/>
      <c r="AD71" s="41"/>
      <c r="AE71" s="42" t="str">
        <f aca="false">IF(OR(A71="",NOT(ISNUMBER(AC71)),NOT(ISNUMBER(AD71))),"",IF(AD71&gt;0,AC71/AD71,""))</f>
        <v/>
      </c>
      <c r="AF71" s="42" t="str">
        <f aca="false">IF(OR(A71="",AB71=""),"",IFERROR(INDEX(Arbeitszeitmodelle!$C$5:$C$34,MATCH(AB71,Arbeitszeitmodelle!$A$5:$A$34,0)),""))</f>
        <v/>
      </c>
      <c r="AG71" s="38"/>
      <c r="AH71" s="38"/>
      <c r="AI71" s="38"/>
      <c r="AJ71" s="41"/>
      <c r="AK71" s="41"/>
      <c r="AL71" s="38"/>
      <c r="AM71" s="41"/>
      <c r="AN71" s="38"/>
      <c r="AO71" s="38"/>
      <c r="AP71" s="38"/>
      <c r="AQ71" s="38"/>
      <c r="AR71" s="41"/>
      <c r="AS71" s="40"/>
      <c r="AT71" s="39"/>
      <c r="AU71" s="41"/>
      <c r="AV71" s="43" t="str">
        <f aca="false">IF(OR(A71="",NOT(ISNUMBER(AD71))),"",P_MinUrlaubWerktage/6*AD71)</f>
        <v/>
      </c>
      <c r="AW71" s="43" t="str">
        <f aca="false">IF(A71="","",IF(M71="Ja",P_ZusatzSB*IF(ISNUMBER(AD71),AD71,5)/5,0))</f>
        <v/>
      </c>
      <c r="AX71" s="41"/>
      <c r="AY71" s="39"/>
      <c r="AZ71" s="43" t="str">
        <f aca="false">IF(OR(A71="",NOT(ISNUMBER(AU71))),"",SUM(AU71,AW71,AX71))</f>
        <v/>
      </c>
      <c r="BA71" s="38"/>
      <c r="BB71" s="44"/>
      <c r="BC71" s="44"/>
      <c r="BD71" s="45" t="str">
        <f aca="false">IF(A71="","",IF(BA71="Stundenlohn",IF(ISNUMBER(BC71),BC71,""),IF(AND(ISNUMBER(BB71),ISNUMBER(AC71)),IF(AC71&gt;0,BB71*12/(AC71*52),""),"")))</f>
        <v/>
      </c>
      <c r="BE71" s="46" t="str">
        <f aca="false">IF(OR(A71="",NOT(ISNUMBER(F71))),"",IFERROR(DATEDIF(F71,P_Stichtag,"Y"),""))</f>
        <v/>
      </c>
      <c r="BF71" s="47" t="str">
        <f aca="false">IF(OR(A71="",NOT(ISNUMBER(BE71))),"",IF(BE71&lt;18,"Ja","Nein"))</f>
        <v/>
      </c>
      <c r="BG71" s="48" t="str">
        <f aca="false">IF(A71="","",IF((IF(OR(B71="",C71="",F71="",N71="",Q71="",AB71="",AC71="",AD71="",AU71=""),"Pflichtfelder fehlen; ","")&amp;IF(AND(ISNUMBER(AC71),AC71&gt;P_MaxWoche),"Wochenstunden &gt; Prüfgrenze; ","")&amp;IF(AND(BF71="Ja",ISNUMBER(AC71),AC71&gt;P_MaxWocheJugend),"Jugendlicher &gt; 40 h/Woche; ","")&amp;IF(AND(ISNUMBER(BD71),BD71&lt;P_Mindestlohn,Q71&lt;&gt;"Auszubildende/r",Q71&lt;&gt;"Praktikant/in"),"Mindestlohn unterschritten?; ","")&amp;IF(AND(Q71="Minijob (geringfügig)",ISNUMBER(BB71),BB71&gt;P_Minijob),"Minijob-Grenze überschritten; ","")&amp;IF(AND(R71="Ja",S71=""),"Befristung ohne Enddatum; ","")&amp;IF(AND(ISNUMBER(O71),ISNUMBER(N71),O71&lt;N71),"Austritt vor Eintritt; ","")&amp;IF(AND(ISNUMBER(AU71),ISNUMBER(AV71),AU71&lt;AV71),"Urlaub unter gesetzl. Minimum; ","")&amp;IF(AND(ISNUMBER(AC71),ISNUMBER(AF71),ABS(N(AC71)-N(AF71))&gt;0.01),"Wochenstd. weichen vom Modell ab; ","")&amp;IF(AND(AI71="Ja",OR(AJ71="",AK71="")),"Kontogrenzen fehlen; ","")&amp;IF(AND(AL71="Mit Gehalt abgegolten (Pauschale)",AM71=""),"Überstunden-Pauschale fehlt; ",""))="","OK",IF(OR(B71="",C71="",F71="",N71="",Q71="",AB71="",AC71="",AD71="",AU71=""),"Pflichtfelder fehlen; ","")&amp;IF(AND(ISNUMBER(AC71),AC71&gt;P_MaxWoche),"Wochenstunden &gt; Prüfgrenze; ","")&amp;IF(AND(BF71="Ja",ISNUMBER(AC71),AC71&gt;P_MaxWocheJugend),"Jugendlicher &gt; 40 h/Woche; ","")&amp;IF(AND(ISNUMBER(BD71),BD71&lt;P_Mindestlohn,Q71&lt;&gt;"Auszubildende/r",Q71&lt;&gt;"Praktikant/in"),"Mindestlohn unterschritten?; ","")&amp;IF(AND(Q71="Minijob (geringfügig)",ISNUMBER(BB71),BB71&gt;P_Minijob),"Minijob-Grenze überschritten; ","")&amp;IF(AND(R71="Ja",S71=""),"Befristung ohne Enddatum; ","")&amp;IF(AND(ISNUMBER(O71),ISNUMBER(N71),O71&lt;N71),"Austritt vor Eintritt; ","")&amp;IF(AND(ISNUMBER(AU71),ISNUMBER(AV71),AU71&lt;AV71),"Urlaub unter gesetzl. Minimum; ","")&amp;IF(AND(ISNUMBER(AC71),ISNUMBER(AF71),ABS(N(AC71)-N(AF71))&gt;0.01),"Wochenstd. weichen vom Modell ab; ","")&amp;IF(AND(AI71="Ja",OR(AJ71="",AK71="")),"Kontogrenzen fehlen; ","")&amp;IF(AND(AL71="Mit Gehalt abgegolten (Pauschale)",AM71=""),"Überstunden-Pauschale fehlt; ","")))</f>
        <v/>
      </c>
      <c r="BH71" s="38"/>
    </row>
    <row r="72" customFormat="false" ht="15" hidden="false" customHeight="false" outlineLevel="0" collapsed="false">
      <c r="A72" s="37"/>
      <c r="B72" s="38"/>
      <c r="C72" s="38"/>
      <c r="D72" s="38"/>
      <c r="E72" s="38"/>
      <c r="F72" s="39"/>
      <c r="G72" s="38"/>
      <c r="H72" s="38"/>
      <c r="I72" s="37"/>
      <c r="J72" s="38"/>
      <c r="K72" s="38"/>
      <c r="L72" s="38"/>
      <c r="M72" s="38"/>
      <c r="N72" s="39"/>
      <c r="O72" s="39"/>
      <c r="P72" s="38"/>
      <c r="Q72" s="38"/>
      <c r="R72" s="38"/>
      <c r="S72" s="39"/>
      <c r="T72" s="39"/>
      <c r="U72" s="38"/>
      <c r="V72" s="38"/>
      <c r="W72" s="37"/>
      <c r="X72" s="38"/>
      <c r="Y72" s="38"/>
      <c r="Z72" s="37"/>
      <c r="AA72" s="38"/>
      <c r="AB72" s="38"/>
      <c r="AC72" s="40"/>
      <c r="AD72" s="41"/>
      <c r="AE72" s="42" t="str">
        <f aca="false">IF(OR(A72="",NOT(ISNUMBER(AC72)),NOT(ISNUMBER(AD72))),"",IF(AD72&gt;0,AC72/AD72,""))</f>
        <v/>
      </c>
      <c r="AF72" s="42" t="str">
        <f aca="false">IF(OR(A72="",AB72=""),"",IFERROR(INDEX(Arbeitszeitmodelle!$C$5:$C$34,MATCH(AB72,Arbeitszeitmodelle!$A$5:$A$34,0)),""))</f>
        <v/>
      </c>
      <c r="AG72" s="38"/>
      <c r="AH72" s="38"/>
      <c r="AI72" s="38"/>
      <c r="AJ72" s="41"/>
      <c r="AK72" s="41"/>
      <c r="AL72" s="38"/>
      <c r="AM72" s="41"/>
      <c r="AN72" s="38"/>
      <c r="AO72" s="38"/>
      <c r="AP72" s="38"/>
      <c r="AQ72" s="38"/>
      <c r="AR72" s="41"/>
      <c r="AS72" s="40"/>
      <c r="AT72" s="39"/>
      <c r="AU72" s="41"/>
      <c r="AV72" s="43" t="str">
        <f aca="false">IF(OR(A72="",NOT(ISNUMBER(AD72))),"",P_MinUrlaubWerktage/6*AD72)</f>
        <v/>
      </c>
      <c r="AW72" s="43" t="str">
        <f aca="false">IF(A72="","",IF(M72="Ja",P_ZusatzSB*IF(ISNUMBER(AD72),AD72,5)/5,0))</f>
        <v/>
      </c>
      <c r="AX72" s="41"/>
      <c r="AY72" s="39"/>
      <c r="AZ72" s="43" t="str">
        <f aca="false">IF(OR(A72="",NOT(ISNUMBER(AU72))),"",SUM(AU72,AW72,AX72))</f>
        <v/>
      </c>
      <c r="BA72" s="38"/>
      <c r="BB72" s="44"/>
      <c r="BC72" s="44"/>
      <c r="BD72" s="45" t="str">
        <f aca="false">IF(A72="","",IF(BA72="Stundenlohn",IF(ISNUMBER(BC72),BC72,""),IF(AND(ISNUMBER(BB72),ISNUMBER(AC72)),IF(AC72&gt;0,BB72*12/(AC72*52),""),"")))</f>
        <v/>
      </c>
      <c r="BE72" s="46" t="str">
        <f aca="false">IF(OR(A72="",NOT(ISNUMBER(F72))),"",IFERROR(DATEDIF(F72,P_Stichtag,"Y"),""))</f>
        <v/>
      </c>
      <c r="BF72" s="47" t="str">
        <f aca="false">IF(OR(A72="",NOT(ISNUMBER(BE72))),"",IF(BE72&lt;18,"Ja","Nein"))</f>
        <v/>
      </c>
      <c r="BG72" s="48" t="str">
        <f aca="false">IF(A72="","",IF((IF(OR(B72="",C72="",F72="",N72="",Q72="",AB72="",AC72="",AD72="",AU72=""),"Pflichtfelder fehlen; ","")&amp;IF(AND(ISNUMBER(AC72),AC72&gt;P_MaxWoche),"Wochenstunden &gt; Prüfgrenze; ","")&amp;IF(AND(BF72="Ja",ISNUMBER(AC72),AC72&gt;P_MaxWocheJugend),"Jugendlicher &gt; 40 h/Woche; ","")&amp;IF(AND(ISNUMBER(BD72),BD72&lt;P_Mindestlohn,Q72&lt;&gt;"Auszubildende/r",Q72&lt;&gt;"Praktikant/in"),"Mindestlohn unterschritten?; ","")&amp;IF(AND(Q72="Minijob (geringfügig)",ISNUMBER(BB72),BB72&gt;P_Minijob),"Minijob-Grenze überschritten; ","")&amp;IF(AND(R72="Ja",S72=""),"Befristung ohne Enddatum; ","")&amp;IF(AND(ISNUMBER(O72),ISNUMBER(N72),O72&lt;N72),"Austritt vor Eintritt; ","")&amp;IF(AND(ISNUMBER(AU72),ISNUMBER(AV72),AU72&lt;AV72),"Urlaub unter gesetzl. Minimum; ","")&amp;IF(AND(ISNUMBER(AC72),ISNUMBER(AF72),ABS(N(AC72)-N(AF72))&gt;0.01),"Wochenstd. weichen vom Modell ab; ","")&amp;IF(AND(AI72="Ja",OR(AJ72="",AK72="")),"Kontogrenzen fehlen; ","")&amp;IF(AND(AL72="Mit Gehalt abgegolten (Pauschale)",AM72=""),"Überstunden-Pauschale fehlt; ",""))="","OK",IF(OR(B72="",C72="",F72="",N72="",Q72="",AB72="",AC72="",AD72="",AU72=""),"Pflichtfelder fehlen; ","")&amp;IF(AND(ISNUMBER(AC72),AC72&gt;P_MaxWoche),"Wochenstunden &gt; Prüfgrenze; ","")&amp;IF(AND(BF72="Ja",ISNUMBER(AC72),AC72&gt;P_MaxWocheJugend),"Jugendlicher &gt; 40 h/Woche; ","")&amp;IF(AND(ISNUMBER(BD72),BD72&lt;P_Mindestlohn,Q72&lt;&gt;"Auszubildende/r",Q72&lt;&gt;"Praktikant/in"),"Mindestlohn unterschritten?; ","")&amp;IF(AND(Q72="Minijob (geringfügig)",ISNUMBER(BB72),BB72&gt;P_Minijob),"Minijob-Grenze überschritten; ","")&amp;IF(AND(R72="Ja",S72=""),"Befristung ohne Enddatum; ","")&amp;IF(AND(ISNUMBER(O72),ISNUMBER(N72),O72&lt;N72),"Austritt vor Eintritt; ","")&amp;IF(AND(ISNUMBER(AU72),ISNUMBER(AV72),AU72&lt;AV72),"Urlaub unter gesetzl. Minimum; ","")&amp;IF(AND(ISNUMBER(AC72),ISNUMBER(AF72),ABS(N(AC72)-N(AF72))&gt;0.01),"Wochenstd. weichen vom Modell ab; ","")&amp;IF(AND(AI72="Ja",OR(AJ72="",AK72="")),"Kontogrenzen fehlen; ","")&amp;IF(AND(AL72="Mit Gehalt abgegolten (Pauschale)",AM72=""),"Überstunden-Pauschale fehlt; ","")))</f>
        <v/>
      </c>
      <c r="BH72" s="38"/>
    </row>
    <row r="73" customFormat="false" ht="15" hidden="false" customHeight="false" outlineLevel="0" collapsed="false">
      <c r="A73" s="37"/>
      <c r="B73" s="38"/>
      <c r="C73" s="38"/>
      <c r="D73" s="38"/>
      <c r="E73" s="38"/>
      <c r="F73" s="39"/>
      <c r="G73" s="38"/>
      <c r="H73" s="38"/>
      <c r="I73" s="37"/>
      <c r="J73" s="38"/>
      <c r="K73" s="38"/>
      <c r="L73" s="38"/>
      <c r="M73" s="38"/>
      <c r="N73" s="39"/>
      <c r="O73" s="39"/>
      <c r="P73" s="38"/>
      <c r="Q73" s="38"/>
      <c r="R73" s="38"/>
      <c r="S73" s="39"/>
      <c r="T73" s="39"/>
      <c r="U73" s="38"/>
      <c r="V73" s="38"/>
      <c r="W73" s="37"/>
      <c r="X73" s="38"/>
      <c r="Y73" s="38"/>
      <c r="Z73" s="37"/>
      <c r="AA73" s="38"/>
      <c r="AB73" s="38"/>
      <c r="AC73" s="40"/>
      <c r="AD73" s="41"/>
      <c r="AE73" s="42" t="str">
        <f aca="false">IF(OR(A73="",NOT(ISNUMBER(AC73)),NOT(ISNUMBER(AD73))),"",IF(AD73&gt;0,AC73/AD73,""))</f>
        <v/>
      </c>
      <c r="AF73" s="42" t="str">
        <f aca="false">IF(OR(A73="",AB73=""),"",IFERROR(INDEX(Arbeitszeitmodelle!$C$5:$C$34,MATCH(AB73,Arbeitszeitmodelle!$A$5:$A$34,0)),""))</f>
        <v/>
      </c>
      <c r="AG73" s="38"/>
      <c r="AH73" s="38"/>
      <c r="AI73" s="38"/>
      <c r="AJ73" s="41"/>
      <c r="AK73" s="41"/>
      <c r="AL73" s="38"/>
      <c r="AM73" s="41"/>
      <c r="AN73" s="38"/>
      <c r="AO73" s="38"/>
      <c r="AP73" s="38"/>
      <c r="AQ73" s="38"/>
      <c r="AR73" s="41"/>
      <c r="AS73" s="40"/>
      <c r="AT73" s="39"/>
      <c r="AU73" s="41"/>
      <c r="AV73" s="43" t="str">
        <f aca="false">IF(OR(A73="",NOT(ISNUMBER(AD73))),"",P_MinUrlaubWerktage/6*AD73)</f>
        <v/>
      </c>
      <c r="AW73" s="43" t="str">
        <f aca="false">IF(A73="","",IF(M73="Ja",P_ZusatzSB*IF(ISNUMBER(AD73),AD73,5)/5,0))</f>
        <v/>
      </c>
      <c r="AX73" s="41"/>
      <c r="AY73" s="39"/>
      <c r="AZ73" s="43" t="str">
        <f aca="false">IF(OR(A73="",NOT(ISNUMBER(AU73))),"",SUM(AU73,AW73,AX73))</f>
        <v/>
      </c>
      <c r="BA73" s="38"/>
      <c r="BB73" s="44"/>
      <c r="BC73" s="44"/>
      <c r="BD73" s="45" t="str">
        <f aca="false">IF(A73="","",IF(BA73="Stundenlohn",IF(ISNUMBER(BC73),BC73,""),IF(AND(ISNUMBER(BB73),ISNUMBER(AC73)),IF(AC73&gt;0,BB73*12/(AC73*52),""),"")))</f>
        <v/>
      </c>
      <c r="BE73" s="46" t="str">
        <f aca="false">IF(OR(A73="",NOT(ISNUMBER(F73))),"",IFERROR(DATEDIF(F73,P_Stichtag,"Y"),""))</f>
        <v/>
      </c>
      <c r="BF73" s="47" t="str">
        <f aca="false">IF(OR(A73="",NOT(ISNUMBER(BE73))),"",IF(BE73&lt;18,"Ja","Nein"))</f>
        <v/>
      </c>
      <c r="BG73" s="48" t="str">
        <f aca="false">IF(A73="","",IF((IF(OR(B73="",C73="",F73="",N73="",Q73="",AB73="",AC73="",AD73="",AU73=""),"Pflichtfelder fehlen; ","")&amp;IF(AND(ISNUMBER(AC73),AC73&gt;P_MaxWoche),"Wochenstunden &gt; Prüfgrenze; ","")&amp;IF(AND(BF73="Ja",ISNUMBER(AC73),AC73&gt;P_MaxWocheJugend),"Jugendlicher &gt; 40 h/Woche; ","")&amp;IF(AND(ISNUMBER(BD73),BD73&lt;P_Mindestlohn,Q73&lt;&gt;"Auszubildende/r",Q73&lt;&gt;"Praktikant/in"),"Mindestlohn unterschritten?; ","")&amp;IF(AND(Q73="Minijob (geringfügig)",ISNUMBER(BB73),BB73&gt;P_Minijob),"Minijob-Grenze überschritten; ","")&amp;IF(AND(R73="Ja",S73=""),"Befristung ohne Enddatum; ","")&amp;IF(AND(ISNUMBER(O73),ISNUMBER(N73),O73&lt;N73),"Austritt vor Eintritt; ","")&amp;IF(AND(ISNUMBER(AU73),ISNUMBER(AV73),AU73&lt;AV73),"Urlaub unter gesetzl. Minimum; ","")&amp;IF(AND(ISNUMBER(AC73),ISNUMBER(AF73),ABS(N(AC73)-N(AF73))&gt;0.01),"Wochenstd. weichen vom Modell ab; ","")&amp;IF(AND(AI73="Ja",OR(AJ73="",AK73="")),"Kontogrenzen fehlen; ","")&amp;IF(AND(AL73="Mit Gehalt abgegolten (Pauschale)",AM73=""),"Überstunden-Pauschale fehlt; ",""))="","OK",IF(OR(B73="",C73="",F73="",N73="",Q73="",AB73="",AC73="",AD73="",AU73=""),"Pflichtfelder fehlen; ","")&amp;IF(AND(ISNUMBER(AC73),AC73&gt;P_MaxWoche),"Wochenstunden &gt; Prüfgrenze; ","")&amp;IF(AND(BF73="Ja",ISNUMBER(AC73),AC73&gt;P_MaxWocheJugend),"Jugendlicher &gt; 40 h/Woche; ","")&amp;IF(AND(ISNUMBER(BD73),BD73&lt;P_Mindestlohn,Q73&lt;&gt;"Auszubildende/r",Q73&lt;&gt;"Praktikant/in"),"Mindestlohn unterschritten?; ","")&amp;IF(AND(Q73="Minijob (geringfügig)",ISNUMBER(BB73),BB73&gt;P_Minijob),"Minijob-Grenze überschritten; ","")&amp;IF(AND(R73="Ja",S73=""),"Befristung ohne Enddatum; ","")&amp;IF(AND(ISNUMBER(O73),ISNUMBER(N73),O73&lt;N73),"Austritt vor Eintritt; ","")&amp;IF(AND(ISNUMBER(AU73),ISNUMBER(AV73),AU73&lt;AV73),"Urlaub unter gesetzl. Minimum; ","")&amp;IF(AND(ISNUMBER(AC73),ISNUMBER(AF73),ABS(N(AC73)-N(AF73))&gt;0.01),"Wochenstd. weichen vom Modell ab; ","")&amp;IF(AND(AI73="Ja",OR(AJ73="",AK73="")),"Kontogrenzen fehlen; ","")&amp;IF(AND(AL73="Mit Gehalt abgegolten (Pauschale)",AM73=""),"Überstunden-Pauschale fehlt; ","")))</f>
        <v/>
      </c>
      <c r="BH73" s="38"/>
    </row>
    <row r="74" customFormat="false" ht="15" hidden="false" customHeight="false" outlineLevel="0" collapsed="false">
      <c r="A74" s="37"/>
      <c r="B74" s="38"/>
      <c r="C74" s="38"/>
      <c r="D74" s="38"/>
      <c r="E74" s="38"/>
      <c r="F74" s="39"/>
      <c r="G74" s="38"/>
      <c r="H74" s="38"/>
      <c r="I74" s="37"/>
      <c r="J74" s="38"/>
      <c r="K74" s="38"/>
      <c r="L74" s="38"/>
      <c r="M74" s="38"/>
      <c r="N74" s="39"/>
      <c r="O74" s="39"/>
      <c r="P74" s="38"/>
      <c r="Q74" s="38"/>
      <c r="R74" s="38"/>
      <c r="S74" s="39"/>
      <c r="T74" s="39"/>
      <c r="U74" s="38"/>
      <c r="V74" s="38"/>
      <c r="W74" s="37"/>
      <c r="X74" s="38"/>
      <c r="Y74" s="38"/>
      <c r="Z74" s="37"/>
      <c r="AA74" s="38"/>
      <c r="AB74" s="38"/>
      <c r="AC74" s="40"/>
      <c r="AD74" s="41"/>
      <c r="AE74" s="42" t="str">
        <f aca="false">IF(OR(A74="",NOT(ISNUMBER(AC74)),NOT(ISNUMBER(AD74))),"",IF(AD74&gt;0,AC74/AD74,""))</f>
        <v/>
      </c>
      <c r="AF74" s="42" t="str">
        <f aca="false">IF(OR(A74="",AB74=""),"",IFERROR(INDEX(Arbeitszeitmodelle!$C$5:$C$34,MATCH(AB74,Arbeitszeitmodelle!$A$5:$A$34,0)),""))</f>
        <v/>
      </c>
      <c r="AG74" s="38"/>
      <c r="AH74" s="38"/>
      <c r="AI74" s="38"/>
      <c r="AJ74" s="41"/>
      <c r="AK74" s="41"/>
      <c r="AL74" s="38"/>
      <c r="AM74" s="41"/>
      <c r="AN74" s="38"/>
      <c r="AO74" s="38"/>
      <c r="AP74" s="38"/>
      <c r="AQ74" s="38"/>
      <c r="AR74" s="41"/>
      <c r="AS74" s="40"/>
      <c r="AT74" s="39"/>
      <c r="AU74" s="41"/>
      <c r="AV74" s="43" t="str">
        <f aca="false">IF(OR(A74="",NOT(ISNUMBER(AD74))),"",P_MinUrlaubWerktage/6*AD74)</f>
        <v/>
      </c>
      <c r="AW74" s="43" t="str">
        <f aca="false">IF(A74="","",IF(M74="Ja",P_ZusatzSB*IF(ISNUMBER(AD74),AD74,5)/5,0))</f>
        <v/>
      </c>
      <c r="AX74" s="41"/>
      <c r="AY74" s="39"/>
      <c r="AZ74" s="43" t="str">
        <f aca="false">IF(OR(A74="",NOT(ISNUMBER(AU74))),"",SUM(AU74,AW74,AX74))</f>
        <v/>
      </c>
      <c r="BA74" s="38"/>
      <c r="BB74" s="44"/>
      <c r="BC74" s="44"/>
      <c r="BD74" s="45" t="str">
        <f aca="false">IF(A74="","",IF(BA74="Stundenlohn",IF(ISNUMBER(BC74),BC74,""),IF(AND(ISNUMBER(BB74),ISNUMBER(AC74)),IF(AC74&gt;0,BB74*12/(AC74*52),""),"")))</f>
        <v/>
      </c>
      <c r="BE74" s="46" t="str">
        <f aca="false">IF(OR(A74="",NOT(ISNUMBER(F74))),"",IFERROR(DATEDIF(F74,P_Stichtag,"Y"),""))</f>
        <v/>
      </c>
      <c r="BF74" s="47" t="str">
        <f aca="false">IF(OR(A74="",NOT(ISNUMBER(BE74))),"",IF(BE74&lt;18,"Ja","Nein"))</f>
        <v/>
      </c>
      <c r="BG74" s="48" t="str">
        <f aca="false">IF(A74="","",IF((IF(OR(B74="",C74="",F74="",N74="",Q74="",AB74="",AC74="",AD74="",AU74=""),"Pflichtfelder fehlen; ","")&amp;IF(AND(ISNUMBER(AC74),AC74&gt;P_MaxWoche),"Wochenstunden &gt; Prüfgrenze; ","")&amp;IF(AND(BF74="Ja",ISNUMBER(AC74),AC74&gt;P_MaxWocheJugend),"Jugendlicher &gt; 40 h/Woche; ","")&amp;IF(AND(ISNUMBER(BD74),BD74&lt;P_Mindestlohn,Q74&lt;&gt;"Auszubildende/r",Q74&lt;&gt;"Praktikant/in"),"Mindestlohn unterschritten?; ","")&amp;IF(AND(Q74="Minijob (geringfügig)",ISNUMBER(BB74),BB74&gt;P_Minijob),"Minijob-Grenze überschritten; ","")&amp;IF(AND(R74="Ja",S74=""),"Befristung ohne Enddatum; ","")&amp;IF(AND(ISNUMBER(O74),ISNUMBER(N74),O74&lt;N74),"Austritt vor Eintritt; ","")&amp;IF(AND(ISNUMBER(AU74),ISNUMBER(AV74),AU74&lt;AV74),"Urlaub unter gesetzl. Minimum; ","")&amp;IF(AND(ISNUMBER(AC74),ISNUMBER(AF74),ABS(N(AC74)-N(AF74))&gt;0.01),"Wochenstd. weichen vom Modell ab; ","")&amp;IF(AND(AI74="Ja",OR(AJ74="",AK74="")),"Kontogrenzen fehlen; ","")&amp;IF(AND(AL74="Mit Gehalt abgegolten (Pauschale)",AM74=""),"Überstunden-Pauschale fehlt; ",""))="","OK",IF(OR(B74="",C74="",F74="",N74="",Q74="",AB74="",AC74="",AD74="",AU74=""),"Pflichtfelder fehlen; ","")&amp;IF(AND(ISNUMBER(AC74),AC74&gt;P_MaxWoche),"Wochenstunden &gt; Prüfgrenze; ","")&amp;IF(AND(BF74="Ja",ISNUMBER(AC74),AC74&gt;P_MaxWocheJugend),"Jugendlicher &gt; 40 h/Woche; ","")&amp;IF(AND(ISNUMBER(BD74),BD74&lt;P_Mindestlohn,Q74&lt;&gt;"Auszubildende/r",Q74&lt;&gt;"Praktikant/in"),"Mindestlohn unterschritten?; ","")&amp;IF(AND(Q74="Minijob (geringfügig)",ISNUMBER(BB74),BB74&gt;P_Minijob),"Minijob-Grenze überschritten; ","")&amp;IF(AND(R74="Ja",S74=""),"Befristung ohne Enddatum; ","")&amp;IF(AND(ISNUMBER(O74),ISNUMBER(N74),O74&lt;N74),"Austritt vor Eintritt; ","")&amp;IF(AND(ISNUMBER(AU74),ISNUMBER(AV74),AU74&lt;AV74),"Urlaub unter gesetzl. Minimum; ","")&amp;IF(AND(ISNUMBER(AC74),ISNUMBER(AF74),ABS(N(AC74)-N(AF74))&gt;0.01),"Wochenstd. weichen vom Modell ab; ","")&amp;IF(AND(AI74="Ja",OR(AJ74="",AK74="")),"Kontogrenzen fehlen; ","")&amp;IF(AND(AL74="Mit Gehalt abgegolten (Pauschale)",AM74=""),"Überstunden-Pauschale fehlt; ","")))</f>
        <v/>
      </c>
      <c r="BH74" s="38"/>
    </row>
    <row r="75" customFormat="false" ht="15" hidden="false" customHeight="false" outlineLevel="0" collapsed="false">
      <c r="A75" s="37"/>
      <c r="B75" s="38"/>
      <c r="C75" s="38"/>
      <c r="D75" s="38"/>
      <c r="E75" s="38"/>
      <c r="F75" s="39"/>
      <c r="G75" s="38"/>
      <c r="H75" s="38"/>
      <c r="I75" s="37"/>
      <c r="J75" s="38"/>
      <c r="K75" s="38"/>
      <c r="L75" s="38"/>
      <c r="M75" s="38"/>
      <c r="N75" s="39"/>
      <c r="O75" s="39"/>
      <c r="P75" s="38"/>
      <c r="Q75" s="38"/>
      <c r="R75" s="38"/>
      <c r="S75" s="39"/>
      <c r="T75" s="39"/>
      <c r="U75" s="38"/>
      <c r="V75" s="38"/>
      <c r="W75" s="37"/>
      <c r="X75" s="38"/>
      <c r="Y75" s="38"/>
      <c r="Z75" s="37"/>
      <c r="AA75" s="38"/>
      <c r="AB75" s="38"/>
      <c r="AC75" s="40"/>
      <c r="AD75" s="41"/>
      <c r="AE75" s="42" t="str">
        <f aca="false">IF(OR(A75="",NOT(ISNUMBER(AC75)),NOT(ISNUMBER(AD75))),"",IF(AD75&gt;0,AC75/AD75,""))</f>
        <v/>
      </c>
      <c r="AF75" s="42" t="str">
        <f aca="false">IF(OR(A75="",AB75=""),"",IFERROR(INDEX(Arbeitszeitmodelle!$C$5:$C$34,MATCH(AB75,Arbeitszeitmodelle!$A$5:$A$34,0)),""))</f>
        <v/>
      </c>
      <c r="AG75" s="38"/>
      <c r="AH75" s="38"/>
      <c r="AI75" s="38"/>
      <c r="AJ75" s="41"/>
      <c r="AK75" s="41"/>
      <c r="AL75" s="38"/>
      <c r="AM75" s="41"/>
      <c r="AN75" s="38"/>
      <c r="AO75" s="38"/>
      <c r="AP75" s="38"/>
      <c r="AQ75" s="38"/>
      <c r="AR75" s="41"/>
      <c r="AS75" s="40"/>
      <c r="AT75" s="39"/>
      <c r="AU75" s="41"/>
      <c r="AV75" s="43" t="str">
        <f aca="false">IF(OR(A75="",NOT(ISNUMBER(AD75))),"",P_MinUrlaubWerktage/6*AD75)</f>
        <v/>
      </c>
      <c r="AW75" s="43" t="str">
        <f aca="false">IF(A75="","",IF(M75="Ja",P_ZusatzSB*IF(ISNUMBER(AD75),AD75,5)/5,0))</f>
        <v/>
      </c>
      <c r="AX75" s="41"/>
      <c r="AY75" s="39"/>
      <c r="AZ75" s="43" t="str">
        <f aca="false">IF(OR(A75="",NOT(ISNUMBER(AU75))),"",SUM(AU75,AW75,AX75))</f>
        <v/>
      </c>
      <c r="BA75" s="38"/>
      <c r="BB75" s="44"/>
      <c r="BC75" s="44"/>
      <c r="BD75" s="45" t="str">
        <f aca="false">IF(A75="","",IF(BA75="Stundenlohn",IF(ISNUMBER(BC75),BC75,""),IF(AND(ISNUMBER(BB75),ISNUMBER(AC75)),IF(AC75&gt;0,BB75*12/(AC75*52),""),"")))</f>
        <v/>
      </c>
      <c r="BE75" s="46" t="str">
        <f aca="false">IF(OR(A75="",NOT(ISNUMBER(F75))),"",IFERROR(DATEDIF(F75,P_Stichtag,"Y"),""))</f>
        <v/>
      </c>
      <c r="BF75" s="47" t="str">
        <f aca="false">IF(OR(A75="",NOT(ISNUMBER(BE75))),"",IF(BE75&lt;18,"Ja","Nein"))</f>
        <v/>
      </c>
      <c r="BG75" s="48" t="str">
        <f aca="false">IF(A75="","",IF((IF(OR(B75="",C75="",F75="",N75="",Q75="",AB75="",AC75="",AD75="",AU75=""),"Pflichtfelder fehlen; ","")&amp;IF(AND(ISNUMBER(AC75),AC75&gt;P_MaxWoche),"Wochenstunden &gt; Prüfgrenze; ","")&amp;IF(AND(BF75="Ja",ISNUMBER(AC75),AC75&gt;P_MaxWocheJugend),"Jugendlicher &gt; 40 h/Woche; ","")&amp;IF(AND(ISNUMBER(BD75),BD75&lt;P_Mindestlohn,Q75&lt;&gt;"Auszubildende/r",Q75&lt;&gt;"Praktikant/in"),"Mindestlohn unterschritten?; ","")&amp;IF(AND(Q75="Minijob (geringfügig)",ISNUMBER(BB75),BB75&gt;P_Minijob),"Minijob-Grenze überschritten; ","")&amp;IF(AND(R75="Ja",S75=""),"Befristung ohne Enddatum; ","")&amp;IF(AND(ISNUMBER(O75),ISNUMBER(N75),O75&lt;N75),"Austritt vor Eintritt; ","")&amp;IF(AND(ISNUMBER(AU75),ISNUMBER(AV75),AU75&lt;AV75),"Urlaub unter gesetzl. Minimum; ","")&amp;IF(AND(ISNUMBER(AC75),ISNUMBER(AF75),ABS(N(AC75)-N(AF75))&gt;0.01),"Wochenstd. weichen vom Modell ab; ","")&amp;IF(AND(AI75="Ja",OR(AJ75="",AK75="")),"Kontogrenzen fehlen; ","")&amp;IF(AND(AL75="Mit Gehalt abgegolten (Pauschale)",AM75=""),"Überstunden-Pauschale fehlt; ",""))="","OK",IF(OR(B75="",C75="",F75="",N75="",Q75="",AB75="",AC75="",AD75="",AU75=""),"Pflichtfelder fehlen; ","")&amp;IF(AND(ISNUMBER(AC75),AC75&gt;P_MaxWoche),"Wochenstunden &gt; Prüfgrenze; ","")&amp;IF(AND(BF75="Ja",ISNUMBER(AC75),AC75&gt;P_MaxWocheJugend),"Jugendlicher &gt; 40 h/Woche; ","")&amp;IF(AND(ISNUMBER(BD75),BD75&lt;P_Mindestlohn,Q75&lt;&gt;"Auszubildende/r",Q75&lt;&gt;"Praktikant/in"),"Mindestlohn unterschritten?; ","")&amp;IF(AND(Q75="Minijob (geringfügig)",ISNUMBER(BB75),BB75&gt;P_Minijob),"Minijob-Grenze überschritten; ","")&amp;IF(AND(R75="Ja",S75=""),"Befristung ohne Enddatum; ","")&amp;IF(AND(ISNUMBER(O75),ISNUMBER(N75),O75&lt;N75),"Austritt vor Eintritt; ","")&amp;IF(AND(ISNUMBER(AU75),ISNUMBER(AV75),AU75&lt;AV75),"Urlaub unter gesetzl. Minimum; ","")&amp;IF(AND(ISNUMBER(AC75),ISNUMBER(AF75),ABS(N(AC75)-N(AF75))&gt;0.01),"Wochenstd. weichen vom Modell ab; ","")&amp;IF(AND(AI75="Ja",OR(AJ75="",AK75="")),"Kontogrenzen fehlen; ","")&amp;IF(AND(AL75="Mit Gehalt abgegolten (Pauschale)",AM75=""),"Überstunden-Pauschale fehlt; ","")))</f>
        <v/>
      </c>
      <c r="BH75" s="38"/>
    </row>
    <row r="76" customFormat="false" ht="15" hidden="false" customHeight="false" outlineLevel="0" collapsed="false">
      <c r="A76" s="37"/>
      <c r="B76" s="38"/>
      <c r="C76" s="38"/>
      <c r="D76" s="38"/>
      <c r="E76" s="38"/>
      <c r="F76" s="39"/>
      <c r="G76" s="38"/>
      <c r="H76" s="38"/>
      <c r="I76" s="37"/>
      <c r="J76" s="38"/>
      <c r="K76" s="38"/>
      <c r="L76" s="38"/>
      <c r="M76" s="38"/>
      <c r="N76" s="39"/>
      <c r="O76" s="39"/>
      <c r="P76" s="38"/>
      <c r="Q76" s="38"/>
      <c r="R76" s="38"/>
      <c r="S76" s="39"/>
      <c r="T76" s="39"/>
      <c r="U76" s="38"/>
      <c r="V76" s="38"/>
      <c r="W76" s="37"/>
      <c r="X76" s="38"/>
      <c r="Y76" s="38"/>
      <c r="Z76" s="37"/>
      <c r="AA76" s="38"/>
      <c r="AB76" s="38"/>
      <c r="AC76" s="40"/>
      <c r="AD76" s="41"/>
      <c r="AE76" s="42" t="str">
        <f aca="false">IF(OR(A76="",NOT(ISNUMBER(AC76)),NOT(ISNUMBER(AD76))),"",IF(AD76&gt;0,AC76/AD76,""))</f>
        <v/>
      </c>
      <c r="AF76" s="42" t="str">
        <f aca="false">IF(OR(A76="",AB76=""),"",IFERROR(INDEX(Arbeitszeitmodelle!$C$5:$C$34,MATCH(AB76,Arbeitszeitmodelle!$A$5:$A$34,0)),""))</f>
        <v/>
      </c>
      <c r="AG76" s="38"/>
      <c r="AH76" s="38"/>
      <c r="AI76" s="38"/>
      <c r="AJ76" s="41"/>
      <c r="AK76" s="41"/>
      <c r="AL76" s="38"/>
      <c r="AM76" s="41"/>
      <c r="AN76" s="38"/>
      <c r="AO76" s="38"/>
      <c r="AP76" s="38"/>
      <c r="AQ76" s="38"/>
      <c r="AR76" s="41"/>
      <c r="AS76" s="40"/>
      <c r="AT76" s="39"/>
      <c r="AU76" s="41"/>
      <c r="AV76" s="43" t="str">
        <f aca="false">IF(OR(A76="",NOT(ISNUMBER(AD76))),"",P_MinUrlaubWerktage/6*AD76)</f>
        <v/>
      </c>
      <c r="AW76" s="43" t="str">
        <f aca="false">IF(A76="","",IF(M76="Ja",P_ZusatzSB*IF(ISNUMBER(AD76),AD76,5)/5,0))</f>
        <v/>
      </c>
      <c r="AX76" s="41"/>
      <c r="AY76" s="39"/>
      <c r="AZ76" s="43" t="str">
        <f aca="false">IF(OR(A76="",NOT(ISNUMBER(AU76))),"",SUM(AU76,AW76,AX76))</f>
        <v/>
      </c>
      <c r="BA76" s="38"/>
      <c r="BB76" s="44"/>
      <c r="BC76" s="44"/>
      <c r="BD76" s="45" t="str">
        <f aca="false">IF(A76="","",IF(BA76="Stundenlohn",IF(ISNUMBER(BC76),BC76,""),IF(AND(ISNUMBER(BB76),ISNUMBER(AC76)),IF(AC76&gt;0,BB76*12/(AC76*52),""),"")))</f>
        <v/>
      </c>
      <c r="BE76" s="46" t="str">
        <f aca="false">IF(OR(A76="",NOT(ISNUMBER(F76))),"",IFERROR(DATEDIF(F76,P_Stichtag,"Y"),""))</f>
        <v/>
      </c>
      <c r="BF76" s="47" t="str">
        <f aca="false">IF(OR(A76="",NOT(ISNUMBER(BE76))),"",IF(BE76&lt;18,"Ja","Nein"))</f>
        <v/>
      </c>
      <c r="BG76" s="48" t="str">
        <f aca="false">IF(A76="","",IF((IF(OR(B76="",C76="",F76="",N76="",Q76="",AB76="",AC76="",AD76="",AU76=""),"Pflichtfelder fehlen; ","")&amp;IF(AND(ISNUMBER(AC76),AC76&gt;P_MaxWoche),"Wochenstunden &gt; Prüfgrenze; ","")&amp;IF(AND(BF76="Ja",ISNUMBER(AC76),AC76&gt;P_MaxWocheJugend),"Jugendlicher &gt; 40 h/Woche; ","")&amp;IF(AND(ISNUMBER(BD76),BD76&lt;P_Mindestlohn,Q76&lt;&gt;"Auszubildende/r",Q76&lt;&gt;"Praktikant/in"),"Mindestlohn unterschritten?; ","")&amp;IF(AND(Q76="Minijob (geringfügig)",ISNUMBER(BB76),BB76&gt;P_Minijob),"Minijob-Grenze überschritten; ","")&amp;IF(AND(R76="Ja",S76=""),"Befristung ohne Enddatum; ","")&amp;IF(AND(ISNUMBER(O76),ISNUMBER(N76),O76&lt;N76),"Austritt vor Eintritt; ","")&amp;IF(AND(ISNUMBER(AU76),ISNUMBER(AV76),AU76&lt;AV76),"Urlaub unter gesetzl. Minimum; ","")&amp;IF(AND(ISNUMBER(AC76),ISNUMBER(AF76),ABS(N(AC76)-N(AF76))&gt;0.01),"Wochenstd. weichen vom Modell ab; ","")&amp;IF(AND(AI76="Ja",OR(AJ76="",AK76="")),"Kontogrenzen fehlen; ","")&amp;IF(AND(AL76="Mit Gehalt abgegolten (Pauschale)",AM76=""),"Überstunden-Pauschale fehlt; ",""))="","OK",IF(OR(B76="",C76="",F76="",N76="",Q76="",AB76="",AC76="",AD76="",AU76=""),"Pflichtfelder fehlen; ","")&amp;IF(AND(ISNUMBER(AC76),AC76&gt;P_MaxWoche),"Wochenstunden &gt; Prüfgrenze; ","")&amp;IF(AND(BF76="Ja",ISNUMBER(AC76),AC76&gt;P_MaxWocheJugend),"Jugendlicher &gt; 40 h/Woche; ","")&amp;IF(AND(ISNUMBER(BD76),BD76&lt;P_Mindestlohn,Q76&lt;&gt;"Auszubildende/r",Q76&lt;&gt;"Praktikant/in"),"Mindestlohn unterschritten?; ","")&amp;IF(AND(Q76="Minijob (geringfügig)",ISNUMBER(BB76),BB76&gt;P_Minijob),"Minijob-Grenze überschritten; ","")&amp;IF(AND(R76="Ja",S76=""),"Befristung ohne Enddatum; ","")&amp;IF(AND(ISNUMBER(O76),ISNUMBER(N76),O76&lt;N76),"Austritt vor Eintritt; ","")&amp;IF(AND(ISNUMBER(AU76),ISNUMBER(AV76),AU76&lt;AV76),"Urlaub unter gesetzl. Minimum; ","")&amp;IF(AND(ISNUMBER(AC76),ISNUMBER(AF76),ABS(N(AC76)-N(AF76))&gt;0.01),"Wochenstd. weichen vom Modell ab; ","")&amp;IF(AND(AI76="Ja",OR(AJ76="",AK76="")),"Kontogrenzen fehlen; ","")&amp;IF(AND(AL76="Mit Gehalt abgegolten (Pauschale)",AM76=""),"Überstunden-Pauschale fehlt; ","")))</f>
        <v/>
      </c>
      <c r="BH76" s="38"/>
    </row>
    <row r="77" customFormat="false" ht="15" hidden="false" customHeight="false" outlineLevel="0" collapsed="false">
      <c r="A77" s="37"/>
      <c r="B77" s="38"/>
      <c r="C77" s="38"/>
      <c r="D77" s="38"/>
      <c r="E77" s="38"/>
      <c r="F77" s="39"/>
      <c r="G77" s="38"/>
      <c r="H77" s="38"/>
      <c r="I77" s="37"/>
      <c r="J77" s="38"/>
      <c r="K77" s="38"/>
      <c r="L77" s="38"/>
      <c r="M77" s="38"/>
      <c r="N77" s="39"/>
      <c r="O77" s="39"/>
      <c r="P77" s="38"/>
      <c r="Q77" s="38"/>
      <c r="R77" s="38"/>
      <c r="S77" s="39"/>
      <c r="T77" s="39"/>
      <c r="U77" s="38"/>
      <c r="V77" s="38"/>
      <c r="W77" s="37"/>
      <c r="X77" s="38"/>
      <c r="Y77" s="38"/>
      <c r="Z77" s="37"/>
      <c r="AA77" s="38"/>
      <c r="AB77" s="38"/>
      <c r="AC77" s="40"/>
      <c r="AD77" s="41"/>
      <c r="AE77" s="42" t="str">
        <f aca="false">IF(OR(A77="",NOT(ISNUMBER(AC77)),NOT(ISNUMBER(AD77))),"",IF(AD77&gt;0,AC77/AD77,""))</f>
        <v/>
      </c>
      <c r="AF77" s="42" t="str">
        <f aca="false">IF(OR(A77="",AB77=""),"",IFERROR(INDEX(Arbeitszeitmodelle!$C$5:$C$34,MATCH(AB77,Arbeitszeitmodelle!$A$5:$A$34,0)),""))</f>
        <v/>
      </c>
      <c r="AG77" s="38"/>
      <c r="AH77" s="38"/>
      <c r="AI77" s="38"/>
      <c r="AJ77" s="41"/>
      <c r="AK77" s="41"/>
      <c r="AL77" s="38"/>
      <c r="AM77" s="41"/>
      <c r="AN77" s="38"/>
      <c r="AO77" s="38"/>
      <c r="AP77" s="38"/>
      <c r="AQ77" s="38"/>
      <c r="AR77" s="41"/>
      <c r="AS77" s="40"/>
      <c r="AT77" s="39"/>
      <c r="AU77" s="41"/>
      <c r="AV77" s="43" t="str">
        <f aca="false">IF(OR(A77="",NOT(ISNUMBER(AD77))),"",P_MinUrlaubWerktage/6*AD77)</f>
        <v/>
      </c>
      <c r="AW77" s="43" t="str">
        <f aca="false">IF(A77="","",IF(M77="Ja",P_ZusatzSB*IF(ISNUMBER(AD77),AD77,5)/5,0))</f>
        <v/>
      </c>
      <c r="AX77" s="41"/>
      <c r="AY77" s="39"/>
      <c r="AZ77" s="43" t="str">
        <f aca="false">IF(OR(A77="",NOT(ISNUMBER(AU77))),"",SUM(AU77,AW77,AX77))</f>
        <v/>
      </c>
      <c r="BA77" s="38"/>
      <c r="BB77" s="44"/>
      <c r="BC77" s="44"/>
      <c r="BD77" s="45" t="str">
        <f aca="false">IF(A77="","",IF(BA77="Stundenlohn",IF(ISNUMBER(BC77),BC77,""),IF(AND(ISNUMBER(BB77),ISNUMBER(AC77)),IF(AC77&gt;0,BB77*12/(AC77*52),""),"")))</f>
        <v/>
      </c>
      <c r="BE77" s="46" t="str">
        <f aca="false">IF(OR(A77="",NOT(ISNUMBER(F77))),"",IFERROR(DATEDIF(F77,P_Stichtag,"Y"),""))</f>
        <v/>
      </c>
      <c r="BF77" s="47" t="str">
        <f aca="false">IF(OR(A77="",NOT(ISNUMBER(BE77))),"",IF(BE77&lt;18,"Ja","Nein"))</f>
        <v/>
      </c>
      <c r="BG77" s="48" t="str">
        <f aca="false">IF(A77="","",IF((IF(OR(B77="",C77="",F77="",N77="",Q77="",AB77="",AC77="",AD77="",AU77=""),"Pflichtfelder fehlen; ","")&amp;IF(AND(ISNUMBER(AC77),AC77&gt;P_MaxWoche),"Wochenstunden &gt; Prüfgrenze; ","")&amp;IF(AND(BF77="Ja",ISNUMBER(AC77),AC77&gt;P_MaxWocheJugend),"Jugendlicher &gt; 40 h/Woche; ","")&amp;IF(AND(ISNUMBER(BD77),BD77&lt;P_Mindestlohn,Q77&lt;&gt;"Auszubildende/r",Q77&lt;&gt;"Praktikant/in"),"Mindestlohn unterschritten?; ","")&amp;IF(AND(Q77="Minijob (geringfügig)",ISNUMBER(BB77),BB77&gt;P_Minijob),"Minijob-Grenze überschritten; ","")&amp;IF(AND(R77="Ja",S77=""),"Befristung ohne Enddatum; ","")&amp;IF(AND(ISNUMBER(O77),ISNUMBER(N77),O77&lt;N77),"Austritt vor Eintritt; ","")&amp;IF(AND(ISNUMBER(AU77),ISNUMBER(AV77),AU77&lt;AV77),"Urlaub unter gesetzl. Minimum; ","")&amp;IF(AND(ISNUMBER(AC77),ISNUMBER(AF77),ABS(N(AC77)-N(AF77))&gt;0.01),"Wochenstd. weichen vom Modell ab; ","")&amp;IF(AND(AI77="Ja",OR(AJ77="",AK77="")),"Kontogrenzen fehlen; ","")&amp;IF(AND(AL77="Mit Gehalt abgegolten (Pauschale)",AM77=""),"Überstunden-Pauschale fehlt; ",""))="","OK",IF(OR(B77="",C77="",F77="",N77="",Q77="",AB77="",AC77="",AD77="",AU77=""),"Pflichtfelder fehlen; ","")&amp;IF(AND(ISNUMBER(AC77),AC77&gt;P_MaxWoche),"Wochenstunden &gt; Prüfgrenze; ","")&amp;IF(AND(BF77="Ja",ISNUMBER(AC77),AC77&gt;P_MaxWocheJugend),"Jugendlicher &gt; 40 h/Woche; ","")&amp;IF(AND(ISNUMBER(BD77),BD77&lt;P_Mindestlohn,Q77&lt;&gt;"Auszubildende/r",Q77&lt;&gt;"Praktikant/in"),"Mindestlohn unterschritten?; ","")&amp;IF(AND(Q77="Minijob (geringfügig)",ISNUMBER(BB77),BB77&gt;P_Minijob),"Minijob-Grenze überschritten; ","")&amp;IF(AND(R77="Ja",S77=""),"Befristung ohne Enddatum; ","")&amp;IF(AND(ISNUMBER(O77),ISNUMBER(N77),O77&lt;N77),"Austritt vor Eintritt; ","")&amp;IF(AND(ISNUMBER(AU77),ISNUMBER(AV77),AU77&lt;AV77),"Urlaub unter gesetzl. Minimum; ","")&amp;IF(AND(ISNUMBER(AC77),ISNUMBER(AF77),ABS(N(AC77)-N(AF77))&gt;0.01),"Wochenstd. weichen vom Modell ab; ","")&amp;IF(AND(AI77="Ja",OR(AJ77="",AK77="")),"Kontogrenzen fehlen; ","")&amp;IF(AND(AL77="Mit Gehalt abgegolten (Pauschale)",AM77=""),"Überstunden-Pauschale fehlt; ","")))</f>
        <v/>
      </c>
      <c r="BH77" s="38"/>
    </row>
    <row r="78" customFormat="false" ht="15" hidden="false" customHeight="false" outlineLevel="0" collapsed="false">
      <c r="A78" s="37"/>
      <c r="B78" s="38"/>
      <c r="C78" s="38"/>
      <c r="D78" s="38"/>
      <c r="E78" s="38"/>
      <c r="F78" s="39"/>
      <c r="G78" s="38"/>
      <c r="H78" s="38"/>
      <c r="I78" s="37"/>
      <c r="J78" s="38"/>
      <c r="K78" s="38"/>
      <c r="L78" s="38"/>
      <c r="M78" s="38"/>
      <c r="N78" s="39"/>
      <c r="O78" s="39"/>
      <c r="P78" s="38"/>
      <c r="Q78" s="38"/>
      <c r="R78" s="38"/>
      <c r="S78" s="39"/>
      <c r="T78" s="39"/>
      <c r="U78" s="38"/>
      <c r="V78" s="38"/>
      <c r="W78" s="37"/>
      <c r="X78" s="38"/>
      <c r="Y78" s="38"/>
      <c r="Z78" s="37"/>
      <c r="AA78" s="38"/>
      <c r="AB78" s="38"/>
      <c r="AC78" s="40"/>
      <c r="AD78" s="41"/>
      <c r="AE78" s="42" t="str">
        <f aca="false">IF(OR(A78="",NOT(ISNUMBER(AC78)),NOT(ISNUMBER(AD78))),"",IF(AD78&gt;0,AC78/AD78,""))</f>
        <v/>
      </c>
      <c r="AF78" s="42" t="str">
        <f aca="false">IF(OR(A78="",AB78=""),"",IFERROR(INDEX(Arbeitszeitmodelle!$C$5:$C$34,MATCH(AB78,Arbeitszeitmodelle!$A$5:$A$34,0)),""))</f>
        <v/>
      </c>
      <c r="AG78" s="38"/>
      <c r="AH78" s="38"/>
      <c r="AI78" s="38"/>
      <c r="AJ78" s="41"/>
      <c r="AK78" s="41"/>
      <c r="AL78" s="38"/>
      <c r="AM78" s="41"/>
      <c r="AN78" s="38"/>
      <c r="AO78" s="38"/>
      <c r="AP78" s="38"/>
      <c r="AQ78" s="38"/>
      <c r="AR78" s="41"/>
      <c r="AS78" s="40"/>
      <c r="AT78" s="39"/>
      <c r="AU78" s="41"/>
      <c r="AV78" s="43" t="str">
        <f aca="false">IF(OR(A78="",NOT(ISNUMBER(AD78))),"",P_MinUrlaubWerktage/6*AD78)</f>
        <v/>
      </c>
      <c r="AW78" s="43" t="str">
        <f aca="false">IF(A78="","",IF(M78="Ja",P_ZusatzSB*IF(ISNUMBER(AD78),AD78,5)/5,0))</f>
        <v/>
      </c>
      <c r="AX78" s="41"/>
      <c r="AY78" s="39"/>
      <c r="AZ78" s="43" t="str">
        <f aca="false">IF(OR(A78="",NOT(ISNUMBER(AU78))),"",SUM(AU78,AW78,AX78))</f>
        <v/>
      </c>
      <c r="BA78" s="38"/>
      <c r="BB78" s="44"/>
      <c r="BC78" s="44"/>
      <c r="BD78" s="45" t="str">
        <f aca="false">IF(A78="","",IF(BA78="Stundenlohn",IF(ISNUMBER(BC78),BC78,""),IF(AND(ISNUMBER(BB78),ISNUMBER(AC78)),IF(AC78&gt;0,BB78*12/(AC78*52),""),"")))</f>
        <v/>
      </c>
      <c r="BE78" s="46" t="str">
        <f aca="false">IF(OR(A78="",NOT(ISNUMBER(F78))),"",IFERROR(DATEDIF(F78,P_Stichtag,"Y"),""))</f>
        <v/>
      </c>
      <c r="BF78" s="47" t="str">
        <f aca="false">IF(OR(A78="",NOT(ISNUMBER(BE78))),"",IF(BE78&lt;18,"Ja","Nein"))</f>
        <v/>
      </c>
      <c r="BG78" s="48" t="str">
        <f aca="false">IF(A78="","",IF((IF(OR(B78="",C78="",F78="",N78="",Q78="",AB78="",AC78="",AD78="",AU78=""),"Pflichtfelder fehlen; ","")&amp;IF(AND(ISNUMBER(AC78),AC78&gt;P_MaxWoche),"Wochenstunden &gt; Prüfgrenze; ","")&amp;IF(AND(BF78="Ja",ISNUMBER(AC78),AC78&gt;P_MaxWocheJugend),"Jugendlicher &gt; 40 h/Woche; ","")&amp;IF(AND(ISNUMBER(BD78),BD78&lt;P_Mindestlohn,Q78&lt;&gt;"Auszubildende/r",Q78&lt;&gt;"Praktikant/in"),"Mindestlohn unterschritten?; ","")&amp;IF(AND(Q78="Minijob (geringfügig)",ISNUMBER(BB78),BB78&gt;P_Minijob),"Minijob-Grenze überschritten; ","")&amp;IF(AND(R78="Ja",S78=""),"Befristung ohne Enddatum; ","")&amp;IF(AND(ISNUMBER(O78),ISNUMBER(N78),O78&lt;N78),"Austritt vor Eintritt; ","")&amp;IF(AND(ISNUMBER(AU78),ISNUMBER(AV78),AU78&lt;AV78),"Urlaub unter gesetzl. Minimum; ","")&amp;IF(AND(ISNUMBER(AC78),ISNUMBER(AF78),ABS(N(AC78)-N(AF78))&gt;0.01),"Wochenstd. weichen vom Modell ab; ","")&amp;IF(AND(AI78="Ja",OR(AJ78="",AK78="")),"Kontogrenzen fehlen; ","")&amp;IF(AND(AL78="Mit Gehalt abgegolten (Pauschale)",AM78=""),"Überstunden-Pauschale fehlt; ",""))="","OK",IF(OR(B78="",C78="",F78="",N78="",Q78="",AB78="",AC78="",AD78="",AU78=""),"Pflichtfelder fehlen; ","")&amp;IF(AND(ISNUMBER(AC78),AC78&gt;P_MaxWoche),"Wochenstunden &gt; Prüfgrenze; ","")&amp;IF(AND(BF78="Ja",ISNUMBER(AC78),AC78&gt;P_MaxWocheJugend),"Jugendlicher &gt; 40 h/Woche; ","")&amp;IF(AND(ISNUMBER(BD78),BD78&lt;P_Mindestlohn,Q78&lt;&gt;"Auszubildende/r",Q78&lt;&gt;"Praktikant/in"),"Mindestlohn unterschritten?; ","")&amp;IF(AND(Q78="Minijob (geringfügig)",ISNUMBER(BB78),BB78&gt;P_Minijob),"Minijob-Grenze überschritten; ","")&amp;IF(AND(R78="Ja",S78=""),"Befristung ohne Enddatum; ","")&amp;IF(AND(ISNUMBER(O78),ISNUMBER(N78),O78&lt;N78),"Austritt vor Eintritt; ","")&amp;IF(AND(ISNUMBER(AU78),ISNUMBER(AV78),AU78&lt;AV78),"Urlaub unter gesetzl. Minimum; ","")&amp;IF(AND(ISNUMBER(AC78),ISNUMBER(AF78),ABS(N(AC78)-N(AF78))&gt;0.01),"Wochenstd. weichen vom Modell ab; ","")&amp;IF(AND(AI78="Ja",OR(AJ78="",AK78="")),"Kontogrenzen fehlen; ","")&amp;IF(AND(AL78="Mit Gehalt abgegolten (Pauschale)",AM78=""),"Überstunden-Pauschale fehlt; ","")))</f>
        <v/>
      </c>
      <c r="BH78" s="38"/>
    </row>
    <row r="79" customFormat="false" ht="15" hidden="false" customHeight="false" outlineLevel="0" collapsed="false">
      <c r="A79" s="37"/>
      <c r="B79" s="38"/>
      <c r="C79" s="38"/>
      <c r="D79" s="38"/>
      <c r="E79" s="38"/>
      <c r="F79" s="39"/>
      <c r="G79" s="38"/>
      <c r="H79" s="38"/>
      <c r="I79" s="37"/>
      <c r="J79" s="38"/>
      <c r="K79" s="38"/>
      <c r="L79" s="38"/>
      <c r="M79" s="38"/>
      <c r="N79" s="39"/>
      <c r="O79" s="39"/>
      <c r="P79" s="38"/>
      <c r="Q79" s="38"/>
      <c r="R79" s="38"/>
      <c r="S79" s="39"/>
      <c r="T79" s="39"/>
      <c r="U79" s="38"/>
      <c r="V79" s="38"/>
      <c r="W79" s="37"/>
      <c r="X79" s="38"/>
      <c r="Y79" s="38"/>
      <c r="Z79" s="37"/>
      <c r="AA79" s="38"/>
      <c r="AB79" s="38"/>
      <c r="AC79" s="40"/>
      <c r="AD79" s="41"/>
      <c r="AE79" s="42" t="str">
        <f aca="false">IF(OR(A79="",NOT(ISNUMBER(AC79)),NOT(ISNUMBER(AD79))),"",IF(AD79&gt;0,AC79/AD79,""))</f>
        <v/>
      </c>
      <c r="AF79" s="42" t="str">
        <f aca="false">IF(OR(A79="",AB79=""),"",IFERROR(INDEX(Arbeitszeitmodelle!$C$5:$C$34,MATCH(AB79,Arbeitszeitmodelle!$A$5:$A$34,0)),""))</f>
        <v/>
      </c>
      <c r="AG79" s="38"/>
      <c r="AH79" s="38"/>
      <c r="AI79" s="38"/>
      <c r="AJ79" s="41"/>
      <c r="AK79" s="41"/>
      <c r="AL79" s="38"/>
      <c r="AM79" s="41"/>
      <c r="AN79" s="38"/>
      <c r="AO79" s="38"/>
      <c r="AP79" s="38"/>
      <c r="AQ79" s="38"/>
      <c r="AR79" s="41"/>
      <c r="AS79" s="40"/>
      <c r="AT79" s="39"/>
      <c r="AU79" s="41"/>
      <c r="AV79" s="43" t="str">
        <f aca="false">IF(OR(A79="",NOT(ISNUMBER(AD79))),"",P_MinUrlaubWerktage/6*AD79)</f>
        <v/>
      </c>
      <c r="AW79" s="43" t="str">
        <f aca="false">IF(A79="","",IF(M79="Ja",P_ZusatzSB*IF(ISNUMBER(AD79),AD79,5)/5,0))</f>
        <v/>
      </c>
      <c r="AX79" s="41"/>
      <c r="AY79" s="39"/>
      <c r="AZ79" s="43" t="str">
        <f aca="false">IF(OR(A79="",NOT(ISNUMBER(AU79))),"",SUM(AU79,AW79,AX79))</f>
        <v/>
      </c>
      <c r="BA79" s="38"/>
      <c r="BB79" s="44"/>
      <c r="BC79" s="44"/>
      <c r="BD79" s="45" t="str">
        <f aca="false">IF(A79="","",IF(BA79="Stundenlohn",IF(ISNUMBER(BC79),BC79,""),IF(AND(ISNUMBER(BB79),ISNUMBER(AC79)),IF(AC79&gt;0,BB79*12/(AC79*52),""),"")))</f>
        <v/>
      </c>
      <c r="BE79" s="46" t="str">
        <f aca="false">IF(OR(A79="",NOT(ISNUMBER(F79))),"",IFERROR(DATEDIF(F79,P_Stichtag,"Y"),""))</f>
        <v/>
      </c>
      <c r="BF79" s="47" t="str">
        <f aca="false">IF(OR(A79="",NOT(ISNUMBER(BE79))),"",IF(BE79&lt;18,"Ja","Nein"))</f>
        <v/>
      </c>
      <c r="BG79" s="48" t="str">
        <f aca="false">IF(A79="","",IF((IF(OR(B79="",C79="",F79="",N79="",Q79="",AB79="",AC79="",AD79="",AU79=""),"Pflichtfelder fehlen; ","")&amp;IF(AND(ISNUMBER(AC79),AC79&gt;P_MaxWoche),"Wochenstunden &gt; Prüfgrenze; ","")&amp;IF(AND(BF79="Ja",ISNUMBER(AC79),AC79&gt;P_MaxWocheJugend),"Jugendlicher &gt; 40 h/Woche; ","")&amp;IF(AND(ISNUMBER(BD79),BD79&lt;P_Mindestlohn,Q79&lt;&gt;"Auszubildende/r",Q79&lt;&gt;"Praktikant/in"),"Mindestlohn unterschritten?; ","")&amp;IF(AND(Q79="Minijob (geringfügig)",ISNUMBER(BB79),BB79&gt;P_Minijob),"Minijob-Grenze überschritten; ","")&amp;IF(AND(R79="Ja",S79=""),"Befristung ohne Enddatum; ","")&amp;IF(AND(ISNUMBER(O79),ISNUMBER(N79),O79&lt;N79),"Austritt vor Eintritt; ","")&amp;IF(AND(ISNUMBER(AU79),ISNUMBER(AV79),AU79&lt;AV79),"Urlaub unter gesetzl. Minimum; ","")&amp;IF(AND(ISNUMBER(AC79),ISNUMBER(AF79),ABS(N(AC79)-N(AF79))&gt;0.01),"Wochenstd. weichen vom Modell ab; ","")&amp;IF(AND(AI79="Ja",OR(AJ79="",AK79="")),"Kontogrenzen fehlen; ","")&amp;IF(AND(AL79="Mit Gehalt abgegolten (Pauschale)",AM79=""),"Überstunden-Pauschale fehlt; ",""))="","OK",IF(OR(B79="",C79="",F79="",N79="",Q79="",AB79="",AC79="",AD79="",AU79=""),"Pflichtfelder fehlen; ","")&amp;IF(AND(ISNUMBER(AC79),AC79&gt;P_MaxWoche),"Wochenstunden &gt; Prüfgrenze; ","")&amp;IF(AND(BF79="Ja",ISNUMBER(AC79),AC79&gt;P_MaxWocheJugend),"Jugendlicher &gt; 40 h/Woche; ","")&amp;IF(AND(ISNUMBER(BD79),BD79&lt;P_Mindestlohn,Q79&lt;&gt;"Auszubildende/r",Q79&lt;&gt;"Praktikant/in"),"Mindestlohn unterschritten?; ","")&amp;IF(AND(Q79="Minijob (geringfügig)",ISNUMBER(BB79),BB79&gt;P_Minijob),"Minijob-Grenze überschritten; ","")&amp;IF(AND(R79="Ja",S79=""),"Befristung ohne Enddatum; ","")&amp;IF(AND(ISNUMBER(O79),ISNUMBER(N79),O79&lt;N79),"Austritt vor Eintritt; ","")&amp;IF(AND(ISNUMBER(AU79),ISNUMBER(AV79),AU79&lt;AV79),"Urlaub unter gesetzl. Minimum; ","")&amp;IF(AND(ISNUMBER(AC79),ISNUMBER(AF79),ABS(N(AC79)-N(AF79))&gt;0.01),"Wochenstd. weichen vom Modell ab; ","")&amp;IF(AND(AI79="Ja",OR(AJ79="",AK79="")),"Kontogrenzen fehlen; ","")&amp;IF(AND(AL79="Mit Gehalt abgegolten (Pauschale)",AM79=""),"Überstunden-Pauschale fehlt; ","")))</f>
        <v/>
      </c>
      <c r="BH79" s="38"/>
    </row>
    <row r="80" customFormat="false" ht="15" hidden="false" customHeight="false" outlineLevel="0" collapsed="false">
      <c r="A80" s="37"/>
      <c r="B80" s="38"/>
      <c r="C80" s="38"/>
      <c r="D80" s="38"/>
      <c r="E80" s="38"/>
      <c r="F80" s="39"/>
      <c r="G80" s="38"/>
      <c r="H80" s="38"/>
      <c r="I80" s="37"/>
      <c r="J80" s="38"/>
      <c r="K80" s="38"/>
      <c r="L80" s="38"/>
      <c r="M80" s="38"/>
      <c r="N80" s="39"/>
      <c r="O80" s="39"/>
      <c r="P80" s="38"/>
      <c r="Q80" s="38"/>
      <c r="R80" s="38"/>
      <c r="S80" s="39"/>
      <c r="T80" s="39"/>
      <c r="U80" s="38"/>
      <c r="V80" s="38"/>
      <c r="W80" s="37"/>
      <c r="X80" s="38"/>
      <c r="Y80" s="38"/>
      <c r="Z80" s="37"/>
      <c r="AA80" s="38"/>
      <c r="AB80" s="38"/>
      <c r="AC80" s="40"/>
      <c r="AD80" s="41"/>
      <c r="AE80" s="42" t="str">
        <f aca="false">IF(OR(A80="",NOT(ISNUMBER(AC80)),NOT(ISNUMBER(AD80))),"",IF(AD80&gt;0,AC80/AD80,""))</f>
        <v/>
      </c>
      <c r="AF80" s="42" t="str">
        <f aca="false">IF(OR(A80="",AB80=""),"",IFERROR(INDEX(Arbeitszeitmodelle!$C$5:$C$34,MATCH(AB80,Arbeitszeitmodelle!$A$5:$A$34,0)),""))</f>
        <v/>
      </c>
      <c r="AG80" s="38"/>
      <c r="AH80" s="38"/>
      <c r="AI80" s="38"/>
      <c r="AJ80" s="41"/>
      <c r="AK80" s="41"/>
      <c r="AL80" s="38"/>
      <c r="AM80" s="41"/>
      <c r="AN80" s="38"/>
      <c r="AO80" s="38"/>
      <c r="AP80" s="38"/>
      <c r="AQ80" s="38"/>
      <c r="AR80" s="41"/>
      <c r="AS80" s="40"/>
      <c r="AT80" s="39"/>
      <c r="AU80" s="41"/>
      <c r="AV80" s="43" t="str">
        <f aca="false">IF(OR(A80="",NOT(ISNUMBER(AD80))),"",P_MinUrlaubWerktage/6*AD80)</f>
        <v/>
      </c>
      <c r="AW80" s="43" t="str">
        <f aca="false">IF(A80="","",IF(M80="Ja",P_ZusatzSB*IF(ISNUMBER(AD80),AD80,5)/5,0))</f>
        <v/>
      </c>
      <c r="AX80" s="41"/>
      <c r="AY80" s="39"/>
      <c r="AZ80" s="43" t="str">
        <f aca="false">IF(OR(A80="",NOT(ISNUMBER(AU80))),"",SUM(AU80,AW80,AX80))</f>
        <v/>
      </c>
      <c r="BA80" s="38"/>
      <c r="BB80" s="44"/>
      <c r="BC80" s="44"/>
      <c r="BD80" s="45" t="str">
        <f aca="false">IF(A80="","",IF(BA80="Stundenlohn",IF(ISNUMBER(BC80),BC80,""),IF(AND(ISNUMBER(BB80),ISNUMBER(AC80)),IF(AC80&gt;0,BB80*12/(AC80*52),""),"")))</f>
        <v/>
      </c>
      <c r="BE80" s="46" t="str">
        <f aca="false">IF(OR(A80="",NOT(ISNUMBER(F80))),"",IFERROR(DATEDIF(F80,P_Stichtag,"Y"),""))</f>
        <v/>
      </c>
      <c r="BF80" s="47" t="str">
        <f aca="false">IF(OR(A80="",NOT(ISNUMBER(BE80))),"",IF(BE80&lt;18,"Ja","Nein"))</f>
        <v/>
      </c>
      <c r="BG80" s="48" t="str">
        <f aca="false">IF(A80="","",IF((IF(OR(B80="",C80="",F80="",N80="",Q80="",AB80="",AC80="",AD80="",AU80=""),"Pflichtfelder fehlen; ","")&amp;IF(AND(ISNUMBER(AC80),AC80&gt;P_MaxWoche),"Wochenstunden &gt; Prüfgrenze; ","")&amp;IF(AND(BF80="Ja",ISNUMBER(AC80),AC80&gt;P_MaxWocheJugend),"Jugendlicher &gt; 40 h/Woche; ","")&amp;IF(AND(ISNUMBER(BD80),BD80&lt;P_Mindestlohn,Q80&lt;&gt;"Auszubildende/r",Q80&lt;&gt;"Praktikant/in"),"Mindestlohn unterschritten?; ","")&amp;IF(AND(Q80="Minijob (geringfügig)",ISNUMBER(BB80),BB80&gt;P_Minijob),"Minijob-Grenze überschritten; ","")&amp;IF(AND(R80="Ja",S80=""),"Befristung ohne Enddatum; ","")&amp;IF(AND(ISNUMBER(O80),ISNUMBER(N80),O80&lt;N80),"Austritt vor Eintritt; ","")&amp;IF(AND(ISNUMBER(AU80),ISNUMBER(AV80),AU80&lt;AV80),"Urlaub unter gesetzl. Minimum; ","")&amp;IF(AND(ISNUMBER(AC80),ISNUMBER(AF80),ABS(N(AC80)-N(AF80))&gt;0.01),"Wochenstd. weichen vom Modell ab; ","")&amp;IF(AND(AI80="Ja",OR(AJ80="",AK80="")),"Kontogrenzen fehlen; ","")&amp;IF(AND(AL80="Mit Gehalt abgegolten (Pauschale)",AM80=""),"Überstunden-Pauschale fehlt; ",""))="","OK",IF(OR(B80="",C80="",F80="",N80="",Q80="",AB80="",AC80="",AD80="",AU80=""),"Pflichtfelder fehlen; ","")&amp;IF(AND(ISNUMBER(AC80),AC80&gt;P_MaxWoche),"Wochenstunden &gt; Prüfgrenze; ","")&amp;IF(AND(BF80="Ja",ISNUMBER(AC80),AC80&gt;P_MaxWocheJugend),"Jugendlicher &gt; 40 h/Woche; ","")&amp;IF(AND(ISNUMBER(BD80),BD80&lt;P_Mindestlohn,Q80&lt;&gt;"Auszubildende/r",Q80&lt;&gt;"Praktikant/in"),"Mindestlohn unterschritten?; ","")&amp;IF(AND(Q80="Minijob (geringfügig)",ISNUMBER(BB80),BB80&gt;P_Minijob),"Minijob-Grenze überschritten; ","")&amp;IF(AND(R80="Ja",S80=""),"Befristung ohne Enddatum; ","")&amp;IF(AND(ISNUMBER(O80),ISNUMBER(N80),O80&lt;N80),"Austritt vor Eintritt; ","")&amp;IF(AND(ISNUMBER(AU80),ISNUMBER(AV80),AU80&lt;AV80),"Urlaub unter gesetzl. Minimum; ","")&amp;IF(AND(ISNUMBER(AC80),ISNUMBER(AF80),ABS(N(AC80)-N(AF80))&gt;0.01),"Wochenstd. weichen vom Modell ab; ","")&amp;IF(AND(AI80="Ja",OR(AJ80="",AK80="")),"Kontogrenzen fehlen; ","")&amp;IF(AND(AL80="Mit Gehalt abgegolten (Pauschale)",AM80=""),"Überstunden-Pauschale fehlt; ","")))</f>
        <v/>
      </c>
      <c r="BH80" s="38"/>
    </row>
    <row r="81" customFormat="false" ht="15" hidden="false" customHeight="false" outlineLevel="0" collapsed="false">
      <c r="A81" s="37"/>
      <c r="B81" s="38"/>
      <c r="C81" s="38"/>
      <c r="D81" s="38"/>
      <c r="E81" s="38"/>
      <c r="F81" s="39"/>
      <c r="G81" s="38"/>
      <c r="H81" s="38"/>
      <c r="I81" s="37"/>
      <c r="J81" s="38"/>
      <c r="K81" s="38"/>
      <c r="L81" s="38"/>
      <c r="M81" s="38"/>
      <c r="N81" s="39"/>
      <c r="O81" s="39"/>
      <c r="P81" s="38"/>
      <c r="Q81" s="38"/>
      <c r="R81" s="38"/>
      <c r="S81" s="39"/>
      <c r="T81" s="39"/>
      <c r="U81" s="38"/>
      <c r="V81" s="38"/>
      <c r="W81" s="37"/>
      <c r="X81" s="38"/>
      <c r="Y81" s="38"/>
      <c r="Z81" s="37"/>
      <c r="AA81" s="38"/>
      <c r="AB81" s="38"/>
      <c r="AC81" s="40"/>
      <c r="AD81" s="41"/>
      <c r="AE81" s="42" t="str">
        <f aca="false">IF(OR(A81="",NOT(ISNUMBER(AC81)),NOT(ISNUMBER(AD81))),"",IF(AD81&gt;0,AC81/AD81,""))</f>
        <v/>
      </c>
      <c r="AF81" s="42" t="str">
        <f aca="false">IF(OR(A81="",AB81=""),"",IFERROR(INDEX(Arbeitszeitmodelle!$C$5:$C$34,MATCH(AB81,Arbeitszeitmodelle!$A$5:$A$34,0)),""))</f>
        <v/>
      </c>
      <c r="AG81" s="38"/>
      <c r="AH81" s="38"/>
      <c r="AI81" s="38"/>
      <c r="AJ81" s="41"/>
      <c r="AK81" s="41"/>
      <c r="AL81" s="38"/>
      <c r="AM81" s="41"/>
      <c r="AN81" s="38"/>
      <c r="AO81" s="38"/>
      <c r="AP81" s="38"/>
      <c r="AQ81" s="38"/>
      <c r="AR81" s="41"/>
      <c r="AS81" s="40"/>
      <c r="AT81" s="39"/>
      <c r="AU81" s="41"/>
      <c r="AV81" s="43" t="str">
        <f aca="false">IF(OR(A81="",NOT(ISNUMBER(AD81))),"",P_MinUrlaubWerktage/6*AD81)</f>
        <v/>
      </c>
      <c r="AW81" s="43" t="str">
        <f aca="false">IF(A81="","",IF(M81="Ja",P_ZusatzSB*IF(ISNUMBER(AD81),AD81,5)/5,0))</f>
        <v/>
      </c>
      <c r="AX81" s="41"/>
      <c r="AY81" s="39"/>
      <c r="AZ81" s="43" t="str">
        <f aca="false">IF(OR(A81="",NOT(ISNUMBER(AU81))),"",SUM(AU81,AW81,AX81))</f>
        <v/>
      </c>
      <c r="BA81" s="38"/>
      <c r="BB81" s="44"/>
      <c r="BC81" s="44"/>
      <c r="BD81" s="45" t="str">
        <f aca="false">IF(A81="","",IF(BA81="Stundenlohn",IF(ISNUMBER(BC81),BC81,""),IF(AND(ISNUMBER(BB81),ISNUMBER(AC81)),IF(AC81&gt;0,BB81*12/(AC81*52),""),"")))</f>
        <v/>
      </c>
      <c r="BE81" s="46" t="str">
        <f aca="false">IF(OR(A81="",NOT(ISNUMBER(F81))),"",IFERROR(DATEDIF(F81,P_Stichtag,"Y"),""))</f>
        <v/>
      </c>
      <c r="BF81" s="47" t="str">
        <f aca="false">IF(OR(A81="",NOT(ISNUMBER(BE81))),"",IF(BE81&lt;18,"Ja","Nein"))</f>
        <v/>
      </c>
      <c r="BG81" s="48" t="str">
        <f aca="false">IF(A81="","",IF((IF(OR(B81="",C81="",F81="",N81="",Q81="",AB81="",AC81="",AD81="",AU81=""),"Pflichtfelder fehlen; ","")&amp;IF(AND(ISNUMBER(AC81),AC81&gt;P_MaxWoche),"Wochenstunden &gt; Prüfgrenze; ","")&amp;IF(AND(BF81="Ja",ISNUMBER(AC81),AC81&gt;P_MaxWocheJugend),"Jugendlicher &gt; 40 h/Woche; ","")&amp;IF(AND(ISNUMBER(BD81),BD81&lt;P_Mindestlohn,Q81&lt;&gt;"Auszubildende/r",Q81&lt;&gt;"Praktikant/in"),"Mindestlohn unterschritten?; ","")&amp;IF(AND(Q81="Minijob (geringfügig)",ISNUMBER(BB81),BB81&gt;P_Minijob),"Minijob-Grenze überschritten; ","")&amp;IF(AND(R81="Ja",S81=""),"Befristung ohne Enddatum; ","")&amp;IF(AND(ISNUMBER(O81),ISNUMBER(N81),O81&lt;N81),"Austritt vor Eintritt; ","")&amp;IF(AND(ISNUMBER(AU81),ISNUMBER(AV81),AU81&lt;AV81),"Urlaub unter gesetzl. Minimum; ","")&amp;IF(AND(ISNUMBER(AC81),ISNUMBER(AF81),ABS(N(AC81)-N(AF81))&gt;0.01),"Wochenstd. weichen vom Modell ab; ","")&amp;IF(AND(AI81="Ja",OR(AJ81="",AK81="")),"Kontogrenzen fehlen; ","")&amp;IF(AND(AL81="Mit Gehalt abgegolten (Pauschale)",AM81=""),"Überstunden-Pauschale fehlt; ",""))="","OK",IF(OR(B81="",C81="",F81="",N81="",Q81="",AB81="",AC81="",AD81="",AU81=""),"Pflichtfelder fehlen; ","")&amp;IF(AND(ISNUMBER(AC81),AC81&gt;P_MaxWoche),"Wochenstunden &gt; Prüfgrenze; ","")&amp;IF(AND(BF81="Ja",ISNUMBER(AC81),AC81&gt;P_MaxWocheJugend),"Jugendlicher &gt; 40 h/Woche; ","")&amp;IF(AND(ISNUMBER(BD81),BD81&lt;P_Mindestlohn,Q81&lt;&gt;"Auszubildende/r",Q81&lt;&gt;"Praktikant/in"),"Mindestlohn unterschritten?; ","")&amp;IF(AND(Q81="Minijob (geringfügig)",ISNUMBER(BB81),BB81&gt;P_Minijob),"Minijob-Grenze überschritten; ","")&amp;IF(AND(R81="Ja",S81=""),"Befristung ohne Enddatum; ","")&amp;IF(AND(ISNUMBER(O81),ISNUMBER(N81),O81&lt;N81),"Austritt vor Eintritt; ","")&amp;IF(AND(ISNUMBER(AU81),ISNUMBER(AV81),AU81&lt;AV81),"Urlaub unter gesetzl. Minimum; ","")&amp;IF(AND(ISNUMBER(AC81),ISNUMBER(AF81),ABS(N(AC81)-N(AF81))&gt;0.01),"Wochenstd. weichen vom Modell ab; ","")&amp;IF(AND(AI81="Ja",OR(AJ81="",AK81="")),"Kontogrenzen fehlen; ","")&amp;IF(AND(AL81="Mit Gehalt abgegolten (Pauschale)",AM81=""),"Überstunden-Pauschale fehlt; ","")))</f>
        <v/>
      </c>
      <c r="BH81" s="38"/>
    </row>
    <row r="82" customFormat="false" ht="15" hidden="false" customHeight="false" outlineLevel="0" collapsed="false">
      <c r="A82" s="37"/>
      <c r="B82" s="38"/>
      <c r="C82" s="38"/>
      <c r="D82" s="38"/>
      <c r="E82" s="38"/>
      <c r="F82" s="39"/>
      <c r="G82" s="38"/>
      <c r="H82" s="38"/>
      <c r="I82" s="37"/>
      <c r="J82" s="38"/>
      <c r="K82" s="38"/>
      <c r="L82" s="38"/>
      <c r="M82" s="38"/>
      <c r="N82" s="39"/>
      <c r="O82" s="39"/>
      <c r="P82" s="38"/>
      <c r="Q82" s="38"/>
      <c r="R82" s="38"/>
      <c r="S82" s="39"/>
      <c r="T82" s="39"/>
      <c r="U82" s="38"/>
      <c r="V82" s="38"/>
      <c r="W82" s="37"/>
      <c r="X82" s="38"/>
      <c r="Y82" s="38"/>
      <c r="Z82" s="37"/>
      <c r="AA82" s="38"/>
      <c r="AB82" s="38"/>
      <c r="AC82" s="40"/>
      <c r="AD82" s="41"/>
      <c r="AE82" s="42" t="str">
        <f aca="false">IF(OR(A82="",NOT(ISNUMBER(AC82)),NOT(ISNUMBER(AD82))),"",IF(AD82&gt;0,AC82/AD82,""))</f>
        <v/>
      </c>
      <c r="AF82" s="42" t="str">
        <f aca="false">IF(OR(A82="",AB82=""),"",IFERROR(INDEX(Arbeitszeitmodelle!$C$5:$C$34,MATCH(AB82,Arbeitszeitmodelle!$A$5:$A$34,0)),""))</f>
        <v/>
      </c>
      <c r="AG82" s="38"/>
      <c r="AH82" s="38"/>
      <c r="AI82" s="38"/>
      <c r="AJ82" s="41"/>
      <c r="AK82" s="41"/>
      <c r="AL82" s="38"/>
      <c r="AM82" s="41"/>
      <c r="AN82" s="38"/>
      <c r="AO82" s="38"/>
      <c r="AP82" s="38"/>
      <c r="AQ82" s="38"/>
      <c r="AR82" s="41"/>
      <c r="AS82" s="40"/>
      <c r="AT82" s="39"/>
      <c r="AU82" s="41"/>
      <c r="AV82" s="43" t="str">
        <f aca="false">IF(OR(A82="",NOT(ISNUMBER(AD82))),"",P_MinUrlaubWerktage/6*AD82)</f>
        <v/>
      </c>
      <c r="AW82" s="43" t="str">
        <f aca="false">IF(A82="","",IF(M82="Ja",P_ZusatzSB*IF(ISNUMBER(AD82),AD82,5)/5,0))</f>
        <v/>
      </c>
      <c r="AX82" s="41"/>
      <c r="AY82" s="39"/>
      <c r="AZ82" s="43" t="str">
        <f aca="false">IF(OR(A82="",NOT(ISNUMBER(AU82))),"",SUM(AU82,AW82,AX82))</f>
        <v/>
      </c>
      <c r="BA82" s="38"/>
      <c r="BB82" s="44"/>
      <c r="BC82" s="44"/>
      <c r="BD82" s="45" t="str">
        <f aca="false">IF(A82="","",IF(BA82="Stundenlohn",IF(ISNUMBER(BC82),BC82,""),IF(AND(ISNUMBER(BB82),ISNUMBER(AC82)),IF(AC82&gt;0,BB82*12/(AC82*52),""),"")))</f>
        <v/>
      </c>
      <c r="BE82" s="46" t="str">
        <f aca="false">IF(OR(A82="",NOT(ISNUMBER(F82))),"",IFERROR(DATEDIF(F82,P_Stichtag,"Y"),""))</f>
        <v/>
      </c>
      <c r="BF82" s="47" t="str">
        <f aca="false">IF(OR(A82="",NOT(ISNUMBER(BE82))),"",IF(BE82&lt;18,"Ja","Nein"))</f>
        <v/>
      </c>
      <c r="BG82" s="48" t="str">
        <f aca="false">IF(A82="","",IF((IF(OR(B82="",C82="",F82="",N82="",Q82="",AB82="",AC82="",AD82="",AU82=""),"Pflichtfelder fehlen; ","")&amp;IF(AND(ISNUMBER(AC82),AC82&gt;P_MaxWoche),"Wochenstunden &gt; Prüfgrenze; ","")&amp;IF(AND(BF82="Ja",ISNUMBER(AC82),AC82&gt;P_MaxWocheJugend),"Jugendlicher &gt; 40 h/Woche; ","")&amp;IF(AND(ISNUMBER(BD82),BD82&lt;P_Mindestlohn,Q82&lt;&gt;"Auszubildende/r",Q82&lt;&gt;"Praktikant/in"),"Mindestlohn unterschritten?; ","")&amp;IF(AND(Q82="Minijob (geringfügig)",ISNUMBER(BB82),BB82&gt;P_Minijob),"Minijob-Grenze überschritten; ","")&amp;IF(AND(R82="Ja",S82=""),"Befristung ohne Enddatum; ","")&amp;IF(AND(ISNUMBER(O82),ISNUMBER(N82),O82&lt;N82),"Austritt vor Eintritt; ","")&amp;IF(AND(ISNUMBER(AU82),ISNUMBER(AV82),AU82&lt;AV82),"Urlaub unter gesetzl. Minimum; ","")&amp;IF(AND(ISNUMBER(AC82),ISNUMBER(AF82),ABS(N(AC82)-N(AF82))&gt;0.01),"Wochenstd. weichen vom Modell ab; ","")&amp;IF(AND(AI82="Ja",OR(AJ82="",AK82="")),"Kontogrenzen fehlen; ","")&amp;IF(AND(AL82="Mit Gehalt abgegolten (Pauschale)",AM82=""),"Überstunden-Pauschale fehlt; ",""))="","OK",IF(OR(B82="",C82="",F82="",N82="",Q82="",AB82="",AC82="",AD82="",AU82=""),"Pflichtfelder fehlen; ","")&amp;IF(AND(ISNUMBER(AC82),AC82&gt;P_MaxWoche),"Wochenstunden &gt; Prüfgrenze; ","")&amp;IF(AND(BF82="Ja",ISNUMBER(AC82),AC82&gt;P_MaxWocheJugend),"Jugendlicher &gt; 40 h/Woche; ","")&amp;IF(AND(ISNUMBER(BD82),BD82&lt;P_Mindestlohn,Q82&lt;&gt;"Auszubildende/r",Q82&lt;&gt;"Praktikant/in"),"Mindestlohn unterschritten?; ","")&amp;IF(AND(Q82="Minijob (geringfügig)",ISNUMBER(BB82),BB82&gt;P_Minijob),"Minijob-Grenze überschritten; ","")&amp;IF(AND(R82="Ja",S82=""),"Befristung ohne Enddatum; ","")&amp;IF(AND(ISNUMBER(O82),ISNUMBER(N82),O82&lt;N82),"Austritt vor Eintritt; ","")&amp;IF(AND(ISNUMBER(AU82),ISNUMBER(AV82),AU82&lt;AV82),"Urlaub unter gesetzl. Minimum; ","")&amp;IF(AND(ISNUMBER(AC82),ISNUMBER(AF82),ABS(N(AC82)-N(AF82))&gt;0.01),"Wochenstd. weichen vom Modell ab; ","")&amp;IF(AND(AI82="Ja",OR(AJ82="",AK82="")),"Kontogrenzen fehlen; ","")&amp;IF(AND(AL82="Mit Gehalt abgegolten (Pauschale)",AM82=""),"Überstunden-Pauschale fehlt; ","")))</f>
        <v/>
      </c>
      <c r="BH82" s="38"/>
    </row>
    <row r="83" customFormat="false" ht="15" hidden="false" customHeight="false" outlineLevel="0" collapsed="false">
      <c r="A83" s="37"/>
      <c r="B83" s="38"/>
      <c r="C83" s="38"/>
      <c r="D83" s="38"/>
      <c r="E83" s="38"/>
      <c r="F83" s="39"/>
      <c r="G83" s="38"/>
      <c r="H83" s="38"/>
      <c r="I83" s="37"/>
      <c r="J83" s="38"/>
      <c r="K83" s="38"/>
      <c r="L83" s="38"/>
      <c r="M83" s="38"/>
      <c r="N83" s="39"/>
      <c r="O83" s="39"/>
      <c r="P83" s="38"/>
      <c r="Q83" s="38"/>
      <c r="R83" s="38"/>
      <c r="S83" s="39"/>
      <c r="T83" s="39"/>
      <c r="U83" s="38"/>
      <c r="V83" s="38"/>
      <c r="W83" s="37"/>
      <c r="X83" s="38"/>
      <c r="Y83" s="38"/>
      <c r="Z83" s="37"/>
      <c r="AA83" s="38"/>
      <c r="AB83" s="38"/>
      <c r="AC83" s="40"/>
      <c r="AD83" s="41"/>
      <c r="AE83" s="42" t="str">
        <f aca="false">IF(OR(A83="",NOT(ISNUMBER(AC83)),NOT(ISNUMBER(AD83))),"",IF(AD83&gt;0,AC83/AD83,""))</f>
        <v/>
      </c>
      <c r="AF83" s="42" t="str">
        <f aca="false">IF(OR(A83="",AB83=""),"",IFERROR(INDEX(Arbeitszeitmodelle!$C$5:$C$34,MATCH(AB83,Arbeitszeitmodelle!$A$5:$A$34,0)),""))</f>
        <v/>
      </c>
      <c r="AG83" s="38"/>
      <c r="AH83" s="38"/>
      <c r="AI83" s="38"/>
      <c r="AJ83" s="41"/>
      <c r="AK83" s="41"/>
      <c r="AL83" s="38"/>
      <c r="AM83" s="41"/>
      <c r="AN83" s="38"/>
      <c r="AO83" s="38"/>
      <c r="AP83" s="38"/>
      <c r="AQ83" s="38"/>
      <c r="AR83" s="41"/>
      <c r="AS83" s="40"/>
      <c r="AT83" s="39"/>
      <c r="AU83" s="41"/>
      <c r="AV83" s="43" t="str">
        <f aca="false">IF(OR(A83="",NOT(ISNUMBER(AD83))),"",P_MinUrlaubWerktage/6*AD83)</f>
        <v/>
      </c>
      <c r="AW83" s="43" t="str">
        <f aca="false">IF(A83="","",IF(M83="Ja",P_ZusatzSB*IF(ISNUMBER(AD83),AD83,5)/5,0))</f>
        <v/>
      </c>
      <c r="AX83" s="41"/>
      <c r="AY83" s="39"/>
      <c r="AZ83" s="43" t="str">
        <f aca="false">IF(OR(A83="",NOT(ISNUMBER(AU83))),"",SUM(AU83,AW83,AX83))</f>
        <v/>
      </c>
      <c r="BA83" s="38"/>
      <c r="BB83" s="44"/>
      <c r="BC83" s="44"/>
      <c r="BD83" s="45" t="str">
        <f aca="false">IF(A83="","",IF(BA83="Stundenlohn",IF(ISNUMBER(BC83),BC83,""),IF(AND(ISNUMBER(BB83),ISNUMBER(AC83)),IF(AC83&gt;0,BB83*12/(AC83*52),""),"")))</f>
        <v/>
      </c>
      <c r="BE83" s="46" t="str">
        <f aca="false">IF(OR(A83="",NOT(ISNUMBER(F83))),"",IFERROR(DATEDIF(F83,P_Stichtag,"Y"),""))</f>
        <v/>
      </c>
      <c r="BF83" s="47" t="str">
        <f aca="false">IF(OR(A83="",NOT(ISNUMBER(BE83))),"",IF(BE83&lt;18,"Ja","Nein"))</f>
        <v/>
      </c>
      <c r="BG83" s="48" t="str">
        <f aca="false">IF(A83="","",IF((IF(OR(B83="",C83="",F83="",N83="",Q83="",AB83="",AC83="",AD83="",AU83=""),"Pflichtfelder fehlen; ","")&amp;IF(AND(ISNUMBER(AC83),AC83&gt;P_MaxWoche),"Wochenstunden &gt; Prüfgrenze; ","")&amp;IF(AND(BF83="Ja",ISNUMBER(AC83),AC83&gt;P_MaxWocheJugend),"Jugendlicher &gt; 40 h/Woche; ","")&amp;IF(AND(ISNUMBER(BD83),BD83&lt;P_Mindestlohn,Q83&lt;&gt;"Auszubildende/r",Q83&lt;&gt;"Praktikant/in"),"Mindestlohn unterschritten?; ","")&amp;IF(AND(Q83="Minijob (geringfügig)",ISNUMBER(BB83),BB83&gt;P_Minijob),"Minijob-Grenze überschritten; ","")&amp;IF(AND(R83="Ja",S83=""),"Befristung ohne Enddatum; ","")&amp;IF(AND(ISNUMBER(O83),ISNUMBER(N83),O83&lt;N83),"Austritt vor Eintritt; ","")&amp;IF(AND(ISNUMBER(AU83),ISNUMBER(AV83),AU83&lt;AV83),"Urlaub unter gesetzl. Minimum; ","")&amp;IF(AND(ISNUMBER(AC83),ISNUMBER(AF83),ABS(N(AC83)-N(AF83))&gt;0.01),"Wochenstd. weichen vom Modell ab; ","")&amp;IF(AND(AI83="Ja",OR(AJ83="",AK83="")),"Kontogrenzen fehlen; ","")&amp;IF(AND(AL83="Mit Gehalt abgegolten (Pauschale)",AM83=""),"Überstunden-Pauschale fehlt; ",""))="","OK",IF(OR(B83="",C83="",F83="",N83="",Q83="",AB83="",AC83="",AD83="",AU83=""),"Pflichtfelder fehlen; ","")&amp;IF(AND(ISNUMBER(AC83),AC83&gt;P_MaxWoche),"Wochenstunden &gt; Prüfgrenze; ","")&amp;IF(AND(BF83="Ja",ISNUMBER(AC83),AC83&gt;P_MaxWocheJugend),"Jugendlicher &gt; 40 h/Woche; ","")&amp;IF(AND(ISNUMBER(BD83),BD83&lt;P_Mindestlohn,Q83&lt;&gt;"Auszubildende/r",Q83&lt;&gt;"Praktikant/in"),"Mindestlohn unterschritten?; ","")&amp;IF(AND(Q83="Minijob (geringfügig)",ISNUMBER(BB83),BB83&gt;P_Minijob),"Minijob-Grenze überschritten; ","")&amp;IF(AND(R83="Ja",S83=""),"Befristung ohne Enddatum; ","")&amp;IF(AND(ISNUMBER(O83),ISNUMBER(N83),O83&lt;N83),"Austritt vor Eintritt; ","")&amp;IF(AND(ISNUMBER(AU83),ISNUMBER(AV83),AU83&lt;AV83),"Urlaub unter gesetzl. Minimum; ","")&amp;IF(AND(ISNUMBER(AC83),ISNUMBER(AF83),ABS(N(AC83)-N(AF83))&gt;0.01),"Wochenstd. weichen vom Modell ab; ","")&amp;IF(AND(AI83="Ja",OR(AJ83="",AK83="")),"Kontogrenzen fehlen; ","")&amp;IF(AND(AL83="Mit Gehalt abgegolten (Pauschale)",AM83=""),"Überstunden-Pauschale fehlt; ","")))</f>
        <v/>
      </c>
      <c r="BH83" s="38"/>
    </row>
    <row r="84" customFormat="false" ht="15" hidden="false" customHeight="false" outlineLevel="0" collapsed="false">
      <c r="A84" s="37"/>
      <c r="B84" s="38"/>
      <c r="C84" s="38"/>
      <c r="D84" s="38"/>
      <c r="E84" s="38"/>
      <c r="F84" s="39"/>
      <c r="G84" s="38"/>
      <c r="H84" s="38"/>
      <c r="I84" s="37"/>
      <c r="J84" s="38"/>
      <c r="K84" s="38"/>
      <c r="L84" s="38"/>
      <c r="M84" s="38"/>
      <c r="N84" s="39"/>
      <c r="O84" s="39"/>
      <c r="P84" s="38"/>
      <c r="Q84" s="38"/>
      <c r="R84" s="38"/>
      <c r="S84" s="39"/>
      <c r="T84" s="39"/>
      <c r="U84" s="38"/>
      <c r="V84" s="38"/>
      <c r="W84" s="37"/>
      <c r="X84" s="38"/>
      <c r="Y84" s="38"/>
      <c r="Z84" s="37"/>
      <c r="AA84" s="38"/>
      <c r="AB84" s="38"/>
      <c r="AC84" s="40"/>
      <c r="AD84" s="41"/>
      <c r="AE84" s="42" t="str">
        <f aca="false">IF(OR(A84="",NOT(ISNUMBER(AC84)),NOT(ISNUMBER(AD84))),"",IF(AD84&gt;0,AC84/AD84,""))</f>
        <v/>
      </c>
      <c r="AF84" s="42" t="str">
        <f aca="false">IF(OR(A84="",AB84=""),"",IFERROR(INDEX(Arbeitszeitmodelle!$C$5:$C$34,MATCH(AB84,Arbeitszeitmodelle!$A$5:$A$34,0)),""))</f>
        <v/>
      </c>
      <c r="AG84" s="38"/>
      <c r="AH84" s="38"/>
      <c r="AI84" s="38"/>
      <c r="AJ84" s="41"/>
      <c r="AK84" s="41"/>
      <c r="AL84" s="38"/>
      <c r="AM84" s="41"/>
      <c r="AN84" s="38"/>
      <c r="AO84" s="38"/>
      <c r="AP84" s="38"/>
      <c r="AQ84" s="38"/>
      <c r="AR84" s="41"/>
      <c r="AS84" s="40"/>
      <c r="AT84" s="39"/>
      <c r="AU84" s="41"/>
      <c r="AV84" s="43" t="str">
        <f aca="false">IF(OR(A84="",NOT(ISNUMBER(AD84))),"",P_MinUrlaubWerktage/6*AD84)</f>
        <v/>
      </c>
      <c r="AW84" s="43" t="str">
        <f aca="false">IF(A84="","",IF(M84="Ja",P_ZusatzSB*IF(ISNUMBER(AD84),AD84,5)/5,0))</f>
        <v/>
      </c>
      <c r="AX84" s="41"/>
      <c r="AY84" s="39"/>
      <c r="AZ84" s="43" t="str">
        <f aca="false">IF(OR(A84="",NOT(ISNUMBER(AU84))),"",SUM(AU84,AW84,AX84))</f>
        <v/>
      </c>
      <c r="BA84" s="38"/>
      <c r="BB84" s="44"/>
      <c r="BC84" s="44"/>
      <c r="BD84" s="45" t="str">
        <f aca="false">IF(A84="","",IF(BA84="Stundenlohn",IF(ISNUMBER(BC84),BC84,""),IF(AND(ISNUMBER(BB84),ISNUMBER(AC84)),IF(AC84&gt;0,BB84*12/(AC84*52),""),"")))</f>
        <v/>
      </c>
      <c r="BE84" s="46" t="str">
        <f aca="false">IF(OR(A84="",NOT(ISNUMBER(F84))),"",IFERROR(DATEDIF(F84,P_Stichtag,"Y"),""))</f>
        <v/>
      </c>
      <c r="BF84" s="47" t="str">
        <f aca="false">IF(OR(A84="",NOT(ISNUMBER(BE84))),"",IF(BE84&lt;18,"Ja","Nein"))</f>
        <v/>
      </c>
      <c r="BG84" s="48" t="str">
        <f aca="false">IF(A84="","",IF((IF(OR(B84="",C84="",F84="",N84="",Q84="",AB84="",AC84="",AD84="",AU84=""),"Pflichtfelder fehlen; ","")&amp;IF(AND(ISNUMBER(AC84),AC84&gt;P_MaxWoche),"Wochenstunden &gt; Prüfgrenze; ","")&amp;IF(AND(BF84="Ja",ISNUMBER(AC84),AC84&gt;P_MaxWocheJugend),"Jugendlicher &gt; 40 h/Woche; ","")&amp;IF(AND(ISNUMBER(BD84),BD84&lt;P_Mindestlohn,Q84&lt;&gt;"Auszubildende/r",Q84&lt;&gt;"Praktikant/in"),"Mindestlohn unterschritten?; ","")&amp;IF(AND(Q84="Minijob (geringfügig)",ISNUMBER(BB84),BB84&gt;P_Minijob),"Minijob-Grenze überschritten; ","")&amp;IF(AND(R84="Ja",S84=""),"Befristung ohne Enddatum; ","")&amp;IF(AND(ISNUMBER(O84),ISNUMBER(N84),O84&lt;N84),"Austritt vor Eintritt; ","")&amp;IF(AND(ISNUMBER(AU84),ISNUMBER(AV84),AU84&lt;AV84),"Urlaub unter gesetzl. Minimum; ","")&amp;IF(AND(ISNUMBER(AC84),ISNUMBER(AF84),ABS(N(AC84)-N(AF84))&gt;0.01),"Wochenstd. weichen vom Modell ab; ","")&amp;IF(AND(AI84="Ja",OR(AJ84="",AK84="")),"Kontogrenzen fehlen; ","")&amp;IF(AND(AL84="Mit Gehalt abgegolten (Pauschale)",AM84=""),"Überstunden-Pauschale fehlt; ",""))="","OK",IF(OR(B84="",C84="",F84="",N84="",Q84="",AB84="",AC84="",AD84="",AU84=""),"Pflichtfelder fehlen; ","")&amp;IF(AND(ISNUMBER(AC84),AC84&gt;P_MaxWoche),"Wochenstunden &gt; Prüfgrenze; ","")&amp;IF(AND(BF84="Ja",ISNUMBER(AC84),AC84&gt;P_MaxWocheJugend),"Jugendlicher &gt; 40 h/Woche; ","")&amp;IF(AND(ISNUMBER(BD84),BD84&lt;P_Mindestlohn,Q84&lt;&gt;"Auszubildende/r",Q84&lt;&gt;"Praktikant/in"),"Mindestlohn unterschritten?; ","")&amp;IF(AND(Q84="Minijob (geringfügig)",ISNUMBER(BB84),BB84&gt;P_Minijob),"Minijob-Grenze überschritten; ","")&amp;IF(AND(R84="Ja",S84=""),"Befristung ohne Enddatum; ","")&amp;IF(AND(ISNUMBER(O84),ISNUMBER(N84),O84&lt;N84),"Austritt vor Eintritt; ","")&amp;IF(AND(ISNUMBER(AU84),ISNUMBER(AV84),AU84&lt;AV84),"Urlaub unter gesetzl. Minimum; ","")&amp;IF(AND(ISNUMBER(AC84),ISNUMBER(AF84),ABS(N(AC84)-N(AF84))&gt;0.01),"Wochenstd. weichen vom Modell ab; ","")&amp;IF(AND(AI84="Ja",OR(AJ84="",AK84="")),"Kontogrenzen fehlen; ","")&amp;IF(AND(AL84="Mit Gehalt abgegolten (Pauschale)",AM84=""),"Überstunden-Pauschale fehlt; ","")))</f>
        <v/>
      </c>
      <c r="BH84" s="38"/>
    </row>
    <row r="85" customFormat="false" ht="15" hidden="false" customHeight="false" outlineLevel="0" collapsed="false">
      <c r="A85" s="37"/>
      <c r="B85" s="38"/>
      <c r="C85" s="38"/>
      <c r="D85" s="38"/>
      <c r="E85" s="38"/>
      <c r="F85" s="39"/>
      <c r="G85" s="38"/>
      <c r="H85" s="38"/>
      <c r="I85" s="37"/>
      <c r="J85" s="38"/>
      <c r="K85" s="38"/>
      <c r="L85" s="38"/>
      <c r="M85" s="38"/>
      <c r="N85" s="39"/>
      <c r="O85" s="39"/>
      <c r="P85" s="38"/>
      <c r="Q85" s="38"/>
      <c r="R85" s="38"/>
      <c r="S85" s="39"/>
      <c r="T85" s="39"/>
      <c r="U85" s="38"/>
      <c r="V85" s="38"/>
      <c r="W85" s="37"/>
      <c r="X85" s="38"/>
      <c r="Y85" s="38"/>
      <c r="Z85" s="37"/>
      <c r="AA85" s="38"/>
      <c r="AB85" s="38"/>
      <c r="AC85" s="40"/>
      <c r="AD85" s="41"/>
      <c r="AE85" s="42" t="str">
        <f aca="false">IF(OR(A85="",NOT(ISNUMBER(AC85)),NOT(ISNUMBER(AD85))),"",IF(AD85&gt;0,AC85/AD85,""))</f>
        <v/>
      </c>
      <c r="AF85" s="42" t="str">
        <f aca="false">IF(OR(A85="",AB85=""),"",IFERROR(INDEX(Arbeitszeitmodelle!$C$5:$C$34,MATCH(AB85,Arbeitszeitmodelle!$A$5:$A$34,0)),""))</f>
        <v/>
      </c>
      <c r="AG85" s="38"/>
      <c r="AH85" s="38"/>
      <c r="AI85" s="38"/>
      <c r="AJ85" s="41"/>
      <c r="AK85" s="41"/>
      <c r="AL85" s="38"/>
      <c r="AM85" s="41"/>
      <c r="AN85" s="38"/>
      <c r="AO85" s="38"/>
      <c r="AP85" s="38"/>
      <c r="AQ85" s="38"/>
      <c r="AR85" s="41"/>
      <c r="AS85" s="40"/>
      <c r="AT85" s="39"/>
      <c r="AU85" s="41"/>
      <c r="AV85" s="43" t="str">
        <f aca="false">IF(OR(A85="",NOT(ISNUMBER(AD85))),"",P_MinUrlaubWerktage/6*AD85)</f>
        <v/>
      </c>
      <c r="AW85" s="43" t="str">
        <f aca="false">IF(A85="","",IF(M85="Ja",P_ZusatzSB*IF(ISNUMBER(AD85),AD85,5)/5,0))</f>
        <v/>
      </c>
      <c r="AX85" s="41"/>
      <c r="AY85" s="39"/>
      <c r="AZ85" s="43" t="str">
        <f aca="false">IF(OR(A85="",NOT(ISNUMBER(AU85))),"",SUM(AU85,AW85,AX85))</f>
        <v/>
      </c>
      <c r="BA85" s="38"/>
      <c r="BB85" s="44"/>
      <c r="BC85" s="44"/>
      <c r="BD85" s="45" t="str">
        <f aca="false">IF(A85="","",IF(BA85="Stundenlohn",IF(ISNUMBER(BC85),BC85,""),IF(AND(ISNUMBER(BB85),ISNUMBER(AC85)),IF(AC85&gt;0,BB85*12/(AC85*52),""),"")))</f>
        <v/>
      </c>
      <c r="BE85" s="46" t="str">
        <f aca="false">IF(OR(A85="",NOT(ISNUMBER(F85))),"",IFERROR(DATEDIF(F85,P_Stichtag,"Y"),""))</f>
        <v/>
      </c>
      <c r="BF85" s="47" t="str">
        <f aca="false">IF(OR(A85="",NOT(ISNUMBER(BE85))),"",IF(BE85&lt;18,"Ja","Nein"))</f>
        <v/>
      </c>
      <c r="BG85" s="48" t="str">
        <f aca="false">IF(A85="","",IF((IF(OR(B85="",C85="",F85="",N85="",Q85="",AB85="",AC85="",AD85="",AU85=""),"Pflichtfelder fehlen; ","")&amp;IF(AND(ISNUMBER(AC85),AC85&gt;P_MaxWoche),"Wochenstunden &gt; Prüfgrenze; ","")&amp;IF(AND(BF85="Ja",ISNUMBER(AC85),AC85&gt;P_MaxWocheJugend),"Jugendlicher &gt; 40 h/Woche; ","")&amp;IF(AND(ISNUMBER(BD85),BD85&lt;P_Mindestlohn,Q85&lt;&gt;"Auszubildende/r",Q85&lt;&gt;"Praktikant/in"),"Mindestlohn unterschritten?; ","")&amp;IF(AND(Q85="Minijob (geringfügig)",ISNUMBER(BB85),BB85&gt;P_Minijob),"Minijob-Grenze überschritten; ","")&amp;IF(AND(R85="Ja",S85=""),"Befristung ohne Enddatum; ","")&amp;IF(AND(ISNUMBER(O85),ISNUMBER(N85),O85&lt;N85),"Austritt vor Eintritt; ","")&amp;IF(AND(ISNUMBER(AU85),ISNUMBER(AV85),AU85&lt;AV85),"Urlaub unter gesetzl. Minimum; ","")&amp;IF(AND(ISNUMBER(AC85),ISNUMBER(AF85),ABS(N(AC85)-N(AF85))&gt;0.01),"Wochenstd. weichen vom Modell ab; ","")&amp;IF(AND(AI85="Ja",OR(AJ85="",AK85="")),"Kontogrenzen fehlen; ","")&amp;IF(AND(AL85="Mit Gehalt abgegolten (Pauschale)",AM85=""),"Überstunden-Pauschale fehlt; ",""))="","OK",IF(OR(B85="",C85="",F85="",N85="",Q85="",AB85="",AC85="",AD85="",AU85=""),"Pflichtfelder fehlen; ","")&amp;IF(AND(ISNUMBER(AC85),AC85&gt;P_MaxWoche),"Wochenstunden &gt; Prüfgrenze; ","")&amp;IF(AND(BF85="Ja",ISNUMBER(AC85),AC85&gt;P_MaxWocheJugend),"Jugendlicher &gt; 40 h/Woche; ","")&amp;IF(AND(ISNUMBER(BD85),BD85&lt;P_Mindestlohn,Q85&lt;&gt;"Auszubildende/r",Q85&lt;&gt;"Praktikant/in"),"Mindestlohn unterschritten?; ","")&amp;IF(AND(Q85="Minijob (geringfügig)",ISNUMBER(BB85),BB85&gt;P_Minijob),"Minijob-Grenze überschritten; ","")&amp;IF(AND(R85="Ja",S85=""),"Befristung ohne Enddatum; ","")&amp;IF(AND(ISNUMBER(O85),ISNUMBER(N85),O85&lt;N85),"Austritt vor Eintritt; ","")&amp;IF(AND(ISNUMBER(AU85),ISNUMBER(AV85),AU85&lt;AV85),"Urlaub unter gesetzl. Minimum; ","")&amp;IF(AND(ISNUMBER(AC85),ISNUMBER(AF85),ABS(N(AC85)-N(AF85))&gt;0.01),"Wochenstd. weichen vom Modell ab; ","")&amp;IF(AND(AI85="Ja",OR(AJ85="",AK85="")),"Kontogrenzen fehlen; ","")&amp;IF(AND(AL85="Mit Gehalt abgegolten (Pauschale)",AM85=""),"Überstunden-Pauschale fehlt; ","")))</f>
        <v/>
      </c>
      <c r="BH85" s="38"/>
    </row>
    <row r="86" customFormat="false" ht="15" hidden="false" customHeight="false" outlineLevel="0" collapsed="false">
      <c r="A86" s="37"/>
      <c r="B86" s="38"/>
      <c r="C86" s="38"/>
      <c r="D86" s="38"/>
      <c r="E86" s="38"/>
      <c r="F86" s="39"/>
      <c r="G86" s="38"/>
      <c r="H86" s="38"/>
      <c r="I86" s="37"/>
      <c r="J86" s="38"/>
      <c r="K86" s="38"/>
      <c r="L86" s="38"/>
      <c r="M86" s="38"/>
      <c r="N86" s="39"/>
      <c r="O86" s="39"/>
      <c r="P86" s="38"/>
      <c r="Q86" s="38"/>
      <c r="R86" s="38"/>
      <c r="S86" s="39"/>
      <c r="T86" s="39"/>
      <c r="U86" s="38"/>
      <c r="V86" s="38"/>
      <c r="W86" s="37"/>
      <c r="X86" s="38"/>
      <c r="Y86" s="38"/>
      <c r="Z86" s="37"/>
      <c r="AA86" s="38"/>
      <c r="AB86" s="38"/>
      <c r="AC86" s="40"/>
      <c r="AD86" s="41"/>
      <c r="AE86" s="42" t="str">
        <f aca="false">IF(OR(A86="",NOT(ISNUMBER(AC86)),NOT(ISNUMBER(AD86))),"",IF(AD86&gt;0,AC86/AD86,""))</f>
        <v/>
      </c>
      <c r="AF86" s="42" t="str">
        <f aca="false">IF(OR(A86="",AB86=""),"",IFERROR(INDEX(Arbeitszeitmodelle!$C$5:$C$34,MATCH(AB86,Arbeitszeitmodelle!$A$5:$A$34,0)),""))</f>
        <v/>
      </c>
      <c r="AG86" s="38"/>
      <c r="AH86" s="38"/>
      <c r="AI86" s="38"/>
      <c r="AJ86" s="41"/>
      <c r="AK86" s="41"/>
      <c r="AL86" s="38"/>
      <c r="AM86" s="41"/>
      <c r="AN86" s="38"/>
      <c r="AO86" s="38"/>
      <c r="AP86" s="38"/>
      <c r="AQ86" s="38"/>
      <c r="AR86" s="41"/>
      <c r="AS86" s="40"/>
      <c r="AT86" s="39"/>
      <c r="AU86" s="41"/>
      <c r="AV86" s="43" t="str">
        <f aca="false">IF(OR(A86="",NOT(ISNUMBER(AD86))),"",P_MinUrlaubWerktage/6*AD86)</f>
        <v/>
      </c>
      <c r="AW86" s="43" t="str">
        <f aca="false">IF(A86="","",IF(M86="Ja",P_ZusatzSB*IF(ISNUMBER(AD86),AD86,5)/5,0))</f>
        <v/>
      </c>
      <c r="AX86" s="41"/>
      <c r="AY86" s="39"/>
      <c r="AZ86" s="43" t="str">
        <f aca="false">IF(OR(A86="",NOT(ISNUMBER(AU86))),"",SUM(AU86,AW86,AX86))</f>
        <v/>
      </c>
      <c r="BA86" s="38"/>
      <c r="BB86" s="44"/>
      <c r="BC86" s="44"/>
      <c r="BD86" s="45" t="str">
        <f aca="false">IF(A86="","",IF(BA86="Stundenlohn",IF(ISNUMBER(BC86),BC86,""),IF(AND(ISNUMBER(BB86),ISNUMBER(AC86)),IF(AC86&gt;0,BB86*12/(AC86*52),""),"")))</f>
        <v/>
      </c>
      <c r="BE86" s="46" t="str">
        <f aca="false">IF(OR(A86="",NOT(ISNUMBER(F86))),"",IFERROR(DATEDIF(F86,P_Stichtag,"Y"),""))</f>
        <v/>
      </c>
      <c r="BF86" s="47" t="str">
        <f aca="false">IF(OR(A86="",NOT(ISNUMBER(BE86))),"",IF(BE86&lt;18,"Ja","Nein"))</f>
        <v/>
      </c>
      <c r="BG86" s="48" t="str">
        <f aca="false">IF(A86="","",IF((IF(OR(B86="",C86="",F86="",N86="",Q86="",AB86="",AC86="",AD86="",AU86=""),"Pflichtfelder fehlen; ","")&amp;IF(AND(ISNUMBER(AC86),AC86&gt;P_MaxWoche),"Wochenstunden &gt; Prüfgrenze; ","")&amp;IF(AND(BF86="Ja",ISNUMBER(AC86),AC86&gt;P_MaxWocheJugend),"Jugendlicher &gt; 40 h/Woche; ","")&amp;IF(AND(ISNUMBER(BD86),BD86&lt;P_Mindestlohn,Q86&lt;&gt;"Auszubildende/r",Q86&lt;&gt;"Praktikant/in"),"Mindestlohn unterschritten?; ","")&amp;IF(AND(Q86="Minijob (geringfügig)",ISNUMBER(BB86),BB86&gt;P_Minijob),"Minijob-Grenze überschritten; ","")&amp;IF(AND(R86="Ja",S86=""),"Befristung ohne Enddatum; ","")&amp;IF(AND(ISNUMBER(O86),ISNUMBER(N86),O86&lt;N86),"Austritt vor Eintritt; ","")&amp;IF(AND(ISNUMBER(AU86),ISNUMBER(AV86),AU86&lt;AV86),"Urlaub unter gesetzl. Minimum; ","")&amp;IF(AND(ISNUMBER(AC86),ISNUMBER(AF86),ABS(N(AC86)-N(AF86))&gt;0.01),"Wochenstd. weichen vom Modell ab; ","")&amp;IF(AND(AI86="Ja",OR(AJ86="",AK86="")),"Kontogrenzen fehlen; ","")&amp;IF(AND(AL86="Mit Gehalt abgegolten (Pauschale)",AM86=""),"Überstunden-Pauschale fehlt; ",""))="","OK",IF(OR(B86="",C86="",F86="",N86="",Q86="",AB86="",AC86="",AD86="",AU86=""),"Pflichtfelder fehlen; ","")&amp;IF(AND(ISNUMBER(AC86),AC86&gt;P_MaxWoche),"Wochenstunden &gt; Prüfgrenze; ","")&amp;IF(AND(BF86="Ja",ISNUMBER(AC86),AC86&gt;P_MaxWocheJugend),"Jugendlicher &gt; 40 h/Woche; ","")&amp;IF(AND(ISNUMBER(BD86),BD86&lt;P_Mindestlohn,Q86&lt;&gt;"Auszubildende/r",Q86&lt;&gt;"Praktikant/in"),"Mindestlohn unterschritten?; ","")&amp;IF(AND(Q86="Minijob (geringfügig)",ISNUMBER(BB86),BB86&gt;P_Minijob),"Minijob-Grenze überschritten; ","")&amp;IF(AND(R86="Ja",S86=""),"Befristung ohne Enddatum; ","")&amp;IF(AND(ISNUMBER(O86),ISNUMBER(N86),O86&lt;N86),"Austritt vor Eintritt; ","")&amp;IF(AND(ISNUMBER(AU86),ISNUMBER(AV86),AU86&lt;AV86),"Urlaub unter gesetzl. Minimum; ","")&amp;IF(AND(ISNUMBER(AC86),ISNUMBER(AF86),ABS(N(AC86)-N(AF86))&gt;0.01),"Wochenstd. weichen vom Modell ab; ","")&amp;IF(AND(AI86="Ja",OR(AJ86="",AK86="")),"Kontogrenzen fehlen; ","")&amp;IF(AND(AL86="Mit Gehalt abgegolten (Pauschale)",AM86=""),"Überstunden-Pauschale fehlt; ","")))</f>
        <v/>
      </c>
      <c r="BH86" s="38"/>
    </row>
    <row r="87" customFormat="false" ht="15" hidden="false" customHeight="false" outlineLevel="0" collapsed="false">
      <c r="A87" s="37"/>
      <c r="B87" s="38"/>
      <c r="C87" s="38"/>
      <c r="D87" s="38"/>
      <c r="E87" s="38"/>
      <c r="F87" s="39"/>
      <c r="G87" s="38"/>
      <c r="H87" s="38"/>
      <c r="I87" s="37"/>
      <c r="J87" s="38"/>
      <c r="K87" s="38"/>
      <c r="L87" s="38"/>
      <c r="M87" s="38"/>
      <c r="N87" s="39"/>
      <c r="O87" s="39"/>
      <c r="P87" s="38"/>
      <c r="Q87" s="38"/>
      <c r="R87" s="38"/>
      <c r="S87" s="39"/>
      <c r="T87" s="39"/>
      <c r="U87" s="38"/>
      <c r="V87" s="38"/>
      <c r="W87" s="37"/>
      <c r="X87" s="38"/>
      <c r="Y87" s="38"/>
      <c r="Z87" s="37"/>
      <c r="AA87" s="38"/>
      <c r="AB87" s="38"/>
      <c r="AC87" s="40"/>
      <c r="AD87" s="41"/>
      <c r="AE87" s="42" t="str">
        <f aca="false">IF(OR(A87="",NOT(ISNUMBER(AC87)),NOT(ISNUMBER(AD87))),"",IF(AD87&gt;0,AC87/AD87,""))</f>
        <v/>
      </c>
      <c r="AF87" s="42" t="str">
        <f aca="false">IF(OR(A87="",AB87=""),"",IFERROR(INDEX(Arbeitszeitmodelle!$C$5:$C$34,MATCH(AB87,Arbeitszeitmodelle!$A$5:$A$34,0)),""))</f>
        <v/>
      </c>
      <c r="AG87" s="38"/>
      <c r="AH87" s="38"/>
      <c r="AI87" s="38"/>
      <c r="AJ87" s="41"/>
      <c r="AK87" s="41"/>
      <c r="AL87" s="38"/>
      <c r="AM87" s="41"/>
      <c r="AN87" s="38"/>
      <c r="AO87" s="38"/>
      <c r="AP87" s="38"/>
      <c r="AQ87" s="38"/>
      <c r="AR87" s="41"/>
      <c r="AS87" s="40"/>
      <c r="AT87" s="39"/>
      <c r="AU87" s="41"/>
      <c r="AV87" s="43" t="str">
        <f aca="false">IF(OR(A87="",NOT(ISNUMBER(AD87))),"",P_MinUrlaubWerktage/6*AD87)</f>
        <v/>
      </c>
      <c r="AW87" s="43" t="str">
        <f aca="false">IF(A87="","",IF(M87="Ja",P_ZusatzSB*IF(ISNUMBER(AD87),AD87,5)/5,0))</f>
        <v/>
      </c>
      <c r="AX87" s="41"/>
      <c r="AY87" s="39"/>
      <c r="AZ87" s="43" t="str">
        <f aca="false">IF(OR(A87="",NOT(ISNUMBER(AU87))),"",SUM(AU87,AW87,AX87))</f>
        <v/>
      </c>
      <c r="BA87" s="38"/>
      <c r="BB87" s="44"/>
      <c r="BC87" s="44"/>
      <c r="BD87" s="45" t="str">
        <f aca="false">IF(A87="","",IF(BA87="Stundenlohn",IF(ISNUMBER(BC87),BC87,""),IF(AND(ISNUMBER(BB87),ISNUMBER(AC87)),IF(AC87&gt;0,BB87*12/(AC87*52),""),"")))</f>
        <v/>
      </c>
      <c r="BE87" s="46" t="str">
        <f aca="false">IF(OR(A87="",NOT(ISNUMBER(F87))),"",IFERROR(DATEDIF(F87,P_Stichtag,"Y"),""))</f>
        <v/>
      </c>
      <c r="BF87" s="47" t="str">
        <f aca="false">IF(OR(A87="",NOT(ISNUMBER(BE87))),"",IF(BE87&lt;18,"Ja","Nein"))</f>
        <v/>
      </c>
      <c r="BG87" s="48" t="str">
        <f aca="false">IF(A87="","",IF((IF(OR(B87="",C87="",F87="",N87="",Q87="",AB87="",AC87="",AD87="",AU87=""),"Pflichtfelder fehlen; ","")&amp;IF(AND(ISNUMBER(AC87),AC87&gt;P_MaxWoche),"Wochenstunden &gt; Prüfgrenze; ","")&amp;IF(AND(BF87="Ja",ISNUMBER(AC87),AC87&gt;P_MaxWocheJugend),"Jugendlicher &gt; 40 h/Woche; ","")&amp;IF(AND(ISNUMBER(BD87),BD87&lt;P_Mindestlohn,Q87&lt;&gt;"Auszubildende/r",Q87&lt;&gt;"Praktikant/in"),"Mindestlohn unterschritten?; ","")&amp;IF(AND(Q87="Minijob (geringfügig)",ISNUMBER(BB87),BB87&gt;P_Minijob),"Minijob-Grenze überschritten; ","")&amp;IF(AND(R87="Ja",S87=""),"Befristung ohne Enddatum; ","")&amp;IF(AND(ISNUMBER(O87),ISNUMBER(N87),O87&lt;N87),"Austritt vor Eintritt; ","")&amp;IF(AND(ISNUMBER(AU87),ISNUMBER(AV87),AU87&lt;AV87),"Urlaub unter gesetzl. Minimum; ","")&amp;IF(AND(ISNUMBER(AC87),ISNUMBER(AF87),ABS(N(AC87)-N(AF87))&gt;0.01),"Wochenstd. weichen vom Modell ab; ","")&amp;IF(AND(AI87="Ja",OR(AJ87="",AK87="")),"Kontogrenzen fehlen; ","")&amp;IF(AND(AL87="Mit Gehalt abgegolten (Pauschale)",AM87=""),"Überstunden-Pauschale fehlt; ",""))="","OK",IF(OR(B87="",C87="",F87="",N87="",Q87="",AB87="",AC87="",AD87="",AU87=""),"Pflichtfelder fehlen; ","")&amp;IF(AND(ISNUMBER(AC87),AC87&gt;P_MaxWoche),"Wochenstunden &gt; Prüfgrenze; ","")&amp;IF(AND(BF87="Ja",ISNUMBER(AC87),AC87&gt;P_MaxWocheJugend),"Jugendlicher &gt; 40 h/Woche; ","")&amp;IF(AND(ISNUMBER(BD87),BD87&lt;P_Mindestlohn,Q87&lt;&gt;"Auszubildende/r",Q87&lt;&gt;"Praktikant/in"),"Mindestlohn unterschritten?; ","")&amp;IF(AND(Q87="Minijob (geringfügig)",ISNUMBER(BB87),BB87&gt;P_Minijob),"Minijob-Grenze überschritten; ","")&amp;IF(AND(R87="Ja",S87=""),"Befristung ohne Enddatum; ","")&amp;IF(AND(ISNUMBER(O87),ISNUMBER(N87),O87&lt;N87),"Austritt vor Eintritt; ","")&amp;IF(AND(ISNUMBER(AU87),ISNUMBER(AV87),AU87&lt;AV87),"Urlaub unter gesetzl. Minimum; ","")&amp;IF(AND(ISNUMBER(AC87),ISNUMBER(AF87),ABS(N(AC87)-N(AF87))&gt;0.01),"Wochenstd. weichen vom Modell ab; ","")&amp;IF(AND(AI87="Ja",OR(AJ87="",AK87="")),"Kontogrenzen fehlen; ","")&amp;IF(AND(AL87="Mit Gehalt abgegolten (Pauschale)",AM87=""),"Überstunden-Pauschale fehlt; ","")))</f>
        <v/>
      </c>
      <c r="BH87" s="38"/>
    </row>
    <row r="88" customFormat="false" ht="15" hidden="false" customHeight="false" outlineLevel="0" collapsed="false">
      <c r="A88" s="37"/>
      <c r="B88" s="38"/>
      <c r="C88" s="38"/>
      <c r="D88" s="38"/>
      <c r="E88" s="38"/>
      <c r="F88" s="39"/>
      <c r="G88" s="38"/>
      <c r="H88" s="38"/>
      <c r="I88" s="37"/>
      <c r="J88" s="38"/>
      <c r="K88" s="38"/>
      <c r="L88" s="38"/>
      <c r="M88" s="38"/>
      <c r="N88" s="39"/>
      <c r="O88" s="39"/>
      <c r="P88" s="38"/>
      <c r="Q88" s="38"/>
      <c r="R88" s="38"/>
      <c r="S88" s="39"/>
      <c r="T88" s="39"/>
      <c r="U88" s="38"/>
      <c r="V88" s="38"/>
      <c r="W88" s="37"/>
      <c r="X88" s="38"/>
      <c r="Y88" s="38"/>
      <c r="Z88" s="37"/>
      <c r="AA88" s="38"/>
      <c r="AB88" s="38"/>
      <c r="AC88" s="40"/>
      <c r="AD88" s="41"/>
      <c r="AE88" s="42" t="str">
        <f aca="false">IF(OR(A88="",NOT(ISNUMBER(AC88)),NOT(ISNUMBER(AD88))),"",IF(AD88&gt;0,AC88/AD88,""))</f>
        <v/>
      </c>
      <c r="AF88" s="42" t="str">
        <f aca="false">IF(OR(A88="",AB88=""),"",IFERROR(INDEX(Arbeitszeitmodelle!$C$5:$C$34,MATCH(AB88,Arbeitszeitmodelle!$A$5:$A$34,0)),""))</f>
        <v/>
      </c>
      <c r="AG88" s="38"/>
      <c r="AH88" s="38"/>
      <c r="AI88" s="38"/>
      <c r="AJ88" s="41"/>
      <c r="AK88" s="41"/>
      <c r="AL88" s="38"/>
      <c r="AM88" s="41"/>
      <c r="AN88" s="38"/>
      <c r="AO88" s="38"/>
      <c r="AP88" s="38"/>
      <c r="AQ88" s="38"/>
      <c r="AR88" s="41"/>
      <c r="AS88" s="40"/>
      <c r="AT88" s="39"/>
      <c r="AU88" s="41"/>
      <c r="AV88" s="43" t="str">
        <f aca="false">IF(OR(A88="",NOT(ISNUMBER(AD88))),"",P_MinUrlaubWerktage/6*AD88)</f>
        <v/>
      </c>
      <c r="AW88" s="43" t="str">
        <f aca="false">IF(A88="","",IF(M88="Ja",P_ZusatzSB*IF(ISNUMBER(AD88),AD88,5)/5,0))</f>
        <v/>
      </c>
      <c r="AX88" s="41"/>
      <c r="AY88" s="39"/>
      <c r="AZ88" s="43" t="str">
        <f aca="false">IF(OR(A88="",NOT(ISNUMBER(AU88))),"",SUM(AU88,AW88,AX88))</f>
        <v/>
      </c>
      <c r="BA88" s="38"/>
      <c r="BB88" s="44"/>
      <c r="BC88" s="44"/>
      <c r="BD88" s="45" t="str">
        <f aca="false">IF(A88="","",IF(BA88="Stundenlohn",IF(ISNUMBER(BC88),BC88,""),IF(AND(ISNUMBER(BB88),ISNUMBER(AC88)),IF(AC88&gt;0,BB88*12/(AC88*52),""),"")))</f>
        <v/>
      </c>
      <c r="BE88" s="46" t="str">
        <f aca="false">IF(OR(A88="",NOT(ISNUMBER(F88))),"",IFERROR(DATEDIF(F88,P_Stichtag,"Y"),""))</f>
        <v/>
      </c>
      <c r="BF88" s="47" t="str">
        <f aca="false">IF(OR(A88="",NOT(ISNUMBER(BE88))),"",IF(BE88&lt;18,"Ja","Nein"))</f>
        <v/>
      </c>
      <c r="BG88" s="48" t="str">
        <f aca="false">IF(A88="","",IF((IF(OR(B88="",C88="",F88="",N88="",Q88="",AB88="",AC88="",AD88="",AU88=""),"Pflichtfelder fehlen; ","")&amp;IF(AND(ISNUMBER(AC88),AC88&gt;P_MaxWoche),"Wochenstunden &gt; Prüfgrenze; ","")&amp;IF(AND(BF88="Ja",ISNUMBER(AC88),AC88&gt;P_MaxWocheJugend),"Jugendlicher &gt; 40 h/Woche; ","")&amp;IF(AND(ISNUMBER(BD88),BD88&lt;P_Mindestlohn,Q88&lt;&gt;"Auszubildende/r",Q88&lt;&gt;"Praktikant/in"),"Mindestlohn unterschritten?; ","")&amp;IF(AND(Q88="Minijob (geringfügig)",ISNUMBER(BB88),BB88&gt;P_Minijob),"Minijob-Grenze überschritten; ","")&amp;IF(AND(R88="Ja",S88=""),"Befristung ohne Enddatum; ","")&amp;IF(AND(ISNUMBER(O88),ISNUMBER(N88),O88&lt;N88),"Austritt vor Eintritt; ","")&amp;IF(AND(ISNUMBER(AU88),ISNUMBER(AV88),AU88&lt;AV88),"Urlaub unter gesetzl. Minimum; ","")&amp;IF(AND(ISNUMBER(AC88),ISNUMBER(AF88),ABS(N(AC88)-N(AF88))&gt;0.01),"Wochenstd. weichen vom Modell ab; ","")&amp;IF(AND(AI88="Ja",OR(AJ88="",AK88="")),"Kontogrenzen fehlen; ","")&amp;IF(AND(AL88="Mit Gehalt abgegolten (Pauschale)",AM88=""),"Überstunden-Pauschale fehlt; ",""))="","OK",IF(OR(B88="",C88="",F88="",N88="",Q88="",AB88="",AC88="",AD88="",AU88=""),"Pflichtfelder fehlen; ","")&amp;IF(AND(ISNUMBER(AC88),AC88&gt;P_MaxWoche),"Wochenstunden &gt; Prüfgrenze; ","")&amp;IF(AND(BF88="Ja",ISNUMBER(AC88),AC88&gt;P_MaxWocheJugend),"Jugendlicher &gt; 40 h/Woche; ","")&amp;IF(AND(ISNUMBER(BD88),BD88&lt;P_Mindestlohn,Q88&lt;&gt;"Auszubildende/r",Q88&lt;&gt;"Praktikant/in"),"Mindestlohn unterschritten?; ","")&amp;IF(AND(Q88="Minijob (geringfügig)",ISNUMBER(BB88),BB88&gt;P_Minijob),"Minijob-Grenze überschritten; ","")&amp;IF(AND(R88="Ja",S88=""),"Befristung ohne Enddatum; ","")&amp;IF(AND(ISNUMBER(O88),ISNUMBER(N88),O88&lt;N88),"Austritt vor Eintritt; ","")&amp;IF(AND(ISNUMBER(AU88),ISNUMBER(AV88),AU88&lt;AV88),"Urlaub unter gesetzl. Minimum; ","")&amp;IF(AND(ISNUMBER(AC88),ISNUMBER(AF88),ABS(N(AC88)-N(AF88))&gt;0.01),"Wochenstd. weichen vom Modell ab; ","")&amp;IF(AND(AI88="Ja",OR(AJ88="",AK88="")),"Kontogrenzen fehlen; ","")&amp;IF(AND(AL88="Mit Gehalt abgegolten (Pauschale)",AM88=""),"Überstunden-Pauschale fehlt; ","")))</f>
        <v/>
      </c>
      <c r="BH88" s="38"/>
    </row>
    <row r="89" customFormat="false" ht="15" hidden="false" customHeight="false" outlineLevel="0" collapsed="false">
      <c r="A89" s="37"/>
      <c r="B89" s="38"/>
      <c r="C89" s="38"/>
      <c r="D89" s="38"/>
      <c r="E89" s="38"/>
      <c r="F89" s="39"/>
      <c r="G89" s="38"/>
      <c r="H89" s="38"/>
      <c r="I89" s="37"/>
      <c r="J89" s="38"/>
      <c r="K89" s="38"/>
      <c r="L89" s="38"/>
      <c r="M89" s="38"/>
      <c r="N89" s="39"/>
      <c r="O89" s="39"/>
      <c r="P89" s="38"/>
      <c r="Q89" s="38"/>
      <c r="R89" s="38"/>
      <c r="S89" s="39"/>
      <c r="T89" s="39"/>
      <c r="U89" s="38"/>
      <c r="V89" s="38"/>
      <c r="W89" s="37"/>
      <c r="X89" s="38"/>
      <c r="Y89" s="38"/>
      <c r="Z89" s="37"/>
      <c r="AA89" s="38"/>
      <c r="AB89" s="38"/>
      <c r="AC89" s="40"/>
      <c r="AD89" s="41"/>
      <c r="AE89" s="42" t="str">
        <f aca="false">IF(OR(A89="",NOT(ISNUMBER(AC89)),NOT(ISNUMBER(AD89))),"",IF(AD89&gt;0,AC89/AD89,""))</f>
        <v/>
      </c>
      <c r="AF89" s="42" t="str">
        <f aca="false">IF(OR(A89="",AB89=""),"",IFERROR(INDEX(Arbeitszeitmodelle!$C$5:$C$34,MATCH(AB89,Arbeitszeitmodelle!$A$5:$A$34,0)),""))</f>
        <v/>
      </c>
      <c r="AG89" s="38"/>
      <c r="AH89" s="38"/>
      <c r="AI89" s="38"/>
      <c r="AJ89" s="41"/>
      <c r="AK89" s="41"/>
      <c r="AL89" s="38"/>
      <c r="AM89" s="41"/>
      <c r="AN89" s="38"/>
      <c r="AO89" s="38"/>
      <c r="AP89" s="38"/>
      <c r="AQ89" s="38"/>
      <c r="AR89" s="41"/>
      <c r="AS89" s="40"/>
      <c r="AT89" s="39"/>
      <c r="AU89" s="41"/>
      <c r="AV89" s="43" t="str">
        <f aca="false">IF(OR(A89="",NOT(ISNUMBER(AD89))),"",P_MinUrlaubWerktage/6*AD89)</f>
        <v/>
      </c>
      <c r="AW89" s="43" t="str">
        <f aca="false">IF(A89="","",IF(M89="Ja",P_ZusatzSB*IF(ISNUMBER(AD89),AD89,5)/5,0))</f>
        <v/>
      </c>
      <c r="AX89" s="41"/>
      <c r="AY89" s="39"/>
      <c r="AZ89" s="43" t="str">
        <f aca="false">IF(OR(A89="",NOT(ISNUMBER(AU89))),"",SUM(AU89,AW89,AX89))</f>
        <v/>
      </c>
      <c r="BA89" s="38"/>
      <c r="BB89" s="44"/>
      <c r="BC89" s="44"/>
      <c r="BD89" s="45" t="str">
        <f aca="false">IF(A89="","",IF(BA89="Stundenlohn",IF(ISNUMBER(BC89),BC89,""),IF(AND(ISNUMBER(BB89),ISNUMBER(AC89)),IF(AC89&gt;0,BB89*12/(AC89*52),""),"")))</f>
        <v/>
      </c>
      <c r="BE89" s="46" t="str">
        <f aca="false">IF(OR(A89="",NOT(ISNUMBER(F89))),"",IFERROR(DATEDIF(F89,P_Stichtag,"Y"),""))</f>
        <v/>
      </c>
      <c r="BF89" s="47" t="str">
        <f aca="false">IF(OR(A89="",NOT(ISNUMBER(BE89))),"",IF(BE89&lt;18,"Ja","Nein"))</f>
        <v/>
      </c>
      <c r="BG89" s="48" t="str">
        <f aca="false">IF(A89="","",IF((IF(OR(B89="",C89="",F89="",N89="",Q89="",AB89="",AC89="",AD89="",AU89=""),"Pflichtfelder fehlen; ","")&amp;IF(AND(ISNUMBER(AC89),AC89&gt;P_MaxWoche),"Wochenstunden &gt; Prüfgrenze; ","")&amp;IF(AND(BF89="Ja",ISNUMBER(AC89),AC89&gt;P_MaxWocheJugend),"Jugendlicher &gt; 40 h/Woche; ","")&amp;IF(AND(ISNUMBER(BD89),BD89&lt;P_Mindestlohn,Q89&lt;&gt;"Auszubildende/r",Q89&lt;&gt;"Praktikant/in"),"Mindestlohn unterschritten?; ","")&amp;IF(AND(Q89="Minijob (geringfügig)",ISNUMBER(BB89),BB89&gt;P_Minijob),"Minijob-Grenze überschritten; ","")&amp;IF(AND(R89="Ja",S89=""),"Befristung ohne Enddatum; ","")&amp;IF(AND(ISNUMBER(O89),ISNUMBER(N89),O89&lt;N89),"Austritt vor Eintritt; ","")&amp;IF(AND(ISNUMBER(AU89),ISNUMBER(AV89),AU89&lt;AV89),"Urlaub unter gesetzl. Minimum; ","")&amp;IF(AND(ISNUMBER(AC89),ISNUMBER(AF89),ABS(N(AC89)-N(AF89))&gt;0.01),"Wochenstd. weichen vom Modell ab; ","")&amp;IF(AND(AI89="Ja",OR(AJ89="",AK89="")),"Kontogrenzen fehlen; ","")&amp;IF(AND(AL89="Mit Gehalt abgegolten (Pauschale)",AM89=""),"Überstunden-Pauschale fehlt; ",""))="","OK",IF(OR(B89="",C89="",F89="",N89="",Q89="",AB89="",AC89="",AD89="",AU89=""),"Pflichtfelder fehlen; ","")&amp;IF(AND(ISNUMBER(AC89),AC89&gt;P_MaxWoche),"Wochenstunden &gt; Prüfgrenze; ","")&amp;IF(AND(BF89="Ja",ISNUMBER(AC89),AC89&gt;P_MaxWocheJugend),"Jugendlicher &gt; 40 h/Woche; ","")&amp;IF(AND(ISNUMBER(BD89),BD89&lt;P_Mindestlohn,Q89&lt;&gt;"Auszubildende/r",Q89&lt;&gt;"Praktikant/in"),"Mindestlohn unterschritten?; ","")&amp;IF(AND(Q89="Minijob (geringfügig)",ISNUMBER(BB89),BB89&gt;P_Minijob),"Minijob-Grenze überschritten; ","")&amp;IF(AND(R89="Ja",S89=""),"Befristung ohne Enddatum; ","")&amp;IF(AND(ISNUMBER(O89),ISNUMBER(N89),O89&lt;N89),"Austritt vor Eintritt; ","")&amp;IF(AND(ISNUMBER(AU89),ISNUMBER(AV89),AU89&lt;AV89),"Urlaub unter gesetzl. Minimum; ","")&amp;IF(AND(ISNUMBER(AC89),ISNUMBER(AF89),ABS(N(AC89)-N(AF89))&gt;0.01),"Wochenstd. weichen vom Modell ab; ","")&amp;IF(AND(AI89="Ja",OR(AJ89="",AK89="")),"Kontogrenzen fehlen; ","")&amp;IF(AND(AL89="Mit Gehalt abgegolten (Pauschale)",AM89=""),"Überstunden-Pauschale fehlt; ","")))</f>
        <v/>
      </c>
      <c r="BH89" s="38"/>
    </row>
    <row r="90" customFormat="false" ht="15" hidden="false" customHeight="false" outlineLevel="0" collapsed="false">
      <c r="A90" s="37"/>
      <c r="B90" s="38"/>
      <c r="C90" s="38"/>
      <c r="D90" s="38"/>
      <c r="E90" s="38"/>
      <c r="F90" s="39"/>
      <c r="G90" s="38"/>
      <c r="H90" s="38"/>
      <c r="I90" s="37"/>
      <c r="J90" s="38"/>
      <c r="K90" s="38"/>
      <c r="L90" s="38"/>
      <c r="M90" s="38"/>
      <c r="N90" s="39"/>
      <c r="O90" s="39"/>
      <c r="P90" s="38"/>
      <c r="Q90" s="38"/>
      <c r="R90" s="38"/>
      <c r="S90" s="39"/>
      <c r="T90" s="39"/>
      <c r="U90" s="38"/>
      <c r="V90" s="38"/>
      <c r="W90" s="37"/>
      <c r="X90" s="38"/>
      <c r="Y90" s="38"/>
      <c r="Z90" s="37"/>
      <c r="AA90" s="38"/>
      <c r="AB90" s="38"/>
      <c r="AC90" s="40"/>
      <c r="AD90" s="41"/>
      <c r="AE90" s="42" t="str">
        <f aca="false">IF(OR(A90="",NOT(ISNUMBER(AC90)),NOT(ISNUMBER(AD90))),"",IF(AD90&gt;0,AC90/AD90,""))</f>
        <v/>
      </c>
      <c r="AF90" s="42" t="str">
        <f aca="false">IF(OR(A90="",AB90=""),"",IFERROR(INDEX(Arbeitszeitmodelle!$C$5:$C$34,MATCH(AB90,Arbeitszeitmodelle!$A$5:$A$34,0)),""))</f>
        <v/>
      </c>
      <c r="AG90" s="38"/>
      <c r="AH90" s="38"/>
      <c r="AI90" s="38"/>
      <c r="AJ90" s="41"/>
      <c r="AK90" s="41"/>
      <c r="AL90" s="38"/>
      <c r="AM90" s="41"/>
      <c r="AN90" s="38"/>
      <c r="AO90" s="38"/>
      <c r="AP90" s="38"/>
      <c r="AQ90" s="38"/>
      <c r="AR90" s="41"/>
      <c r="AS90" s="40"/>
      <c r="AT90" s="39"/>
      <c r="AU90" s="41"/>
      <c r="AV90" s="43" t="str">
        <f aca="false">IF(OR(A90="",NOT(ISNUMBER(AD90))),"",P_MinUrlaubWerktage/6*AD90)</f>
        <v/>
      </c>
      <c r="AW90" s="43" t="str">
        <f aca="false">IF(A90="","",IF(M90="Ja",P_ZusatzSB*IF(ISNUMBER(AD90),AD90,5)/5,0))</f>
        <v/>
      </c>
      <c r="AX90" s="41"/>
      <c r="AY90" s="39"/>
      <c r="AZ90" s="43" t="str">
        <f aca="false">IF(OR(A90="",NOT(ISNUMBER(AU90))),"",SUM(AU90,AW90,AX90))</f>
        <v/>
      </c>
      <c r="BA90" s="38"/>
      <c r="BB90" s="44"/>
      <c r="BC90" s="44"/>
      <c r="BD90" s="45" t="str">
        <f aca="false">IF(A90="","",IF(BA90="Stundenlohn",IF(ISNUMBER(BC90),BC90,""),IF(AND(ISNUMBER(BB90),ISNUMBER(AC90)),IF(AC90&gt;0,BB90*12/(AC90*52),""),"")))</f>
        <v/>
      </c>
      <c r="BE90" s="46" t="str">
        <f aca="false">IF(OR(A90="",NOT(ISNUMBER(F90))),"",IFERROR(DATEDIF(F90,P_Stichtag,"Y"),""))</f>
        <v/>
      </c>
      <c r="BF90" s="47" t="str">
        <f aca="false">IF(OR(A90="",NOT(ISNUMBER(BE90))),"",IF(BE90&lt;18,"Ja","Nein"))</f>
        <v/>
      </c>
      <c r="BG90" s="48" t="str">
        <f aca="false">IF(A90="","",IF((IF(OR(B90="",C90="",F90="",N90="",Q90="",AB90="",AC90="",AD90="",AU90=""),"Pflichtfelder fehlen; ","")&amp;IF(AND(ISNUMBER(AC90),AC90&gt;P_MaxWoche),"Wochenstunden &gt; Prüfgrenze; ","")&amp;IF(AND(BF90="Ja",ISNUMBER(AC90),AC90&gt;P_MaxWocheJugend),"Jugendlicher &gt; 40 h/Woche; ","")&amp;IF(AND(ISNUMBER(BD90),BD90&lt;P_Mindestlohn,Q90&lt;&gt;"Auszubildende/r",Q90&lt;&gt;"Praktikant/in"),"Mindestlohn unterschritten?; ","")&amp;IF(AND(Q90="Minijob (geringfügig)",ISNUMBER(BB90),BB90&gt;P_Minijob),"Minijob-Grenze überschritten; ","")&amp;IF(AND(R90="Ja",S90=""),"Befristung ohne Enddatum; ","")&amp;IF(AND(ISNUMBER(O90),ISNUMBER(N90),O90&lt;N90),"Austritt vor Eintritt; ","")&amp;IF(AND(ISNUMBER(AU90),ISNUMBER(AV90),AU90&lt;AV90),"Urlaub unter gesetzl. Minimum; ","")&amp;IF(AND(ISNUMBER(AC90),ISNUMBER(AF90),ABS(N(AC90)-N(AF90))&gt;0.01),"Wochenstd. weichen vom Modell ab; ","")&amp;IF(AND(AI90="Ja",OR(AJ90="",AK90="")),"Kontogrenzen fehlen; ","")&amp;IF(AND(AL90="Mit Gehalt abgegolten (Pauschale)",AM90=""),"Überstunden-Pauschale fehlt; ",""))="","OK",IF(OR(B90="",C90="",F90="",N90="",Q90="",AB90="",AC90="",AD90="",AU90=""),"Pflichtfelder fehlen; ","")&amp;IF(AND(ISNUMBER(AC90),AC90&gt;P_MaxWoche),"Wochenstunden &gt; Prüfgrenze; ","")&amp;IF(AND(BF90="Ja",ISNUMBER(AC90),AC90&gt;P_MaxWocheJugend),"Jugendlicher &gt; 40 h/Woche; ","")&amp;IF(AND(ISNUMBER(BD90),BD90&lt;P_Mindestlohn,Q90&lt;&gt;"Auszubildende/r",Q90&lt;&gt;"Praktikant/in"),"Mindestlohn unterschritten?; ","")&amp;IF(AND(Q90="Minijob (geringfügig)",ISNUMBER(BB90),BB90&gt;P_Minijob),"Minijob-Grenze überschritten; ","")&amp;IF(AND(R90="Ja",S90=""),"Befristung ohne Enddatum; ","")&amp;IF(AND(ISNUMBER(O90),ISNUMBER(N90),O90&lt;N90),"Austritt vor Eintritt; ","")&amp;IF(AND(ISNUMBER(AU90),ISNUMBER(AV90),AU90&lt;AV90),"Urlaub unter gesetzl. Minimum; ","")&amp;IF(AND(ISNUMBER(AC90),ISNUMBER(AF90),ABS(N(AC90)-N(AF90))&gt;0.01),"Wochenstd. weichen vom Modell ab; ","")&amp;IF(AND(AI90="Ja",OR(AJ90="",AK90="")),"Kontogrenzen fehlen; ","")&amp;IF(AND(AL90="Mit Gehalt abgegolten (Pauschale)",AM90=""),"Überstunden-Pauschale fehlt; ","")))</f>
        <v/>
      </c>
      <c r="BH90" s="38"/>
    </row>
    <row r="91" customFormat="false" ht="15" hidden="false" customHeight="false" outlineLevel="0" collapsed="false">
      <c r="A91" s="37"/>
      <c r="B91" s="38"/>
      <c r="C91" s="38"/>
      <c r="D91" s="38"/>
      <c r="E91" s="38"/>
      <c r="F91" s="39"/>
      <c r="G91" s="38"/>
      <c r="H91" s="38"/>
      <c r="I91" s="37"/>
      <c r="J91" s="38"/>
      <c r="K91" s="38"/>
      <c r="L91" s="38"/>
      <c r="M91" s="38"/>
      <c r="N91" s="39"/>
      <c r="O91" s="39"/>
      <c r="P91" s="38"/>
      <c r="Q91" s="38"/>
      <c r="R91" s="38"/>
      <c r="S91" s="39"/>
      <c r="T91" s="39"/>
      <c r="U91" s="38"/>
      <c r="V91" s="38"/>
      <c r="W91" s="37"/>
      <c r="X91" s="38"/>
      <c r="Y91" s="38"/>
      <c r="Z91" s="37"/>
      <c r="AA91" s="38"/>
      <c r="AB91" s="38"/>
      <c r="AC91" s="40"/>
      <c r="AD91" s="41"/>
      <c r="AE91" s="42" t="str">
        <f aca="false">IF(OR(A91="",NOT(ISNUMBER(AC91)),NOT(ISNUMBER(AD91))),"",IF(AD91&gt;0,AC91/AD91,""))</f>
        <v/>
      </c>
      <c r="AF91" s="42" t="str">
        <f aca="false">IF(OR(A91="",AB91=""),"",IFERROR(INDEX(Arbeitszeitmodelle!$C$5:$C$34,MATCH(AB91,Arbeitszeitmodelle!$A$5:$A$34,0)),""))</f>
        <v/>
      </c>
      <c r="AG91" s="38"/>
      <c r="AH91" s="38"/>
      <c r="AI91" s="38"/>
      <c r="AJ91" s="41"/>
      <c r="AK91" s="41"/>
      <c r="AL91" s="38"/>
      <c r="AM91" s="41"/>
      <c r="AN91" s="38"/>
      <c r="AO91" s="38"/>
      <c r="AP91" s="38"/>
      <c r="AQ91" s="38"/>
      <c r="AR91" s="41"/>
      <c r="AS91" s="40"/>
      <c r="AT91" s="39"/>
      <c r="AU91" s="41"/>
      <c r="AV91" s="43" t="str">
        <f aca="false">IF(OR(A91="",NOT(ISNUMBER(AD91))),"",P_MinUrlaubWerktage/6*AD91)</f>
        <v/>
      </c>
      <c r="AW91" s="43" t="str">
        <f aca="false">IF(A91="","",IF(M91="Ja",P_ZusatzSB*IF(ISNUMBER(AD91),AD91,5)/5,0))</f>
        <v/>
      </c>
      <c r="AX91" s="41"/>
      <c r="AY91" s="39"/>
      <c r="AZ91" s="43" t="str">
        <f aca="false">IF(OR(A91="",NOT(ISNUMBER(AU91))),"",SUM(AU91,AW91,AX91))</f>
        <v/>
      </c>
      <c r="BA91" s="38"/>
      <c r="BB91" s="44"/>
      <c r="BC91" s="44"/>
      <c r="BD91" s="45" t="str">
        <f aca="false">IF(A91="","",IF(BA91="Stundenlohn",IF(ISNUMBER(BC91),BC91,""),IF(AND(ISNUMBER(BB91),ISNUMBER(AC91)),IF(AC91&gt;0,BB91*12/(AC91*52),""),"")))</f>
        <v/>
      </c>
      <c r="BE91" s="46" t="str">
        <f aca="false">IF(OR(A91="",NOT(ISNUMBER(F91))),"",IFERROR(DATEDIF(F91,P_Stichtag,"Y"),""))</f>
        <v/>
      </c>
      <c r="BF91" s="47" t="str">
        <f aca="false">IF(OR(A91="",NOT(ISNUMBER(BE91))),"",IF(BE91&lt;18,"Ja","Nein"))</f>
        <v/>
      </c>
      <c r="BG91" s="48" t="str">
        <f aca="false">IF(A91="","",IF((IF(OR(B91="",C91="",F91="",N91="",Q91="",AB91="",AC91="",AD91="",AU91=""),"Pflichtfelder fehlen; ","")&amp;IF(AND(ISNUMBER(AC91),AC91&gt;P_MaxWoche),"Wochenstunden &gt; Prüfgrenze; ","")&amp;IF(AND(BF91="Ja",ISNUMBER(AC91),AC91&gt;P_MaxWocheJugend),"Jugendlicher &gt; 40 h/Woche; ","")&amp;IF(AND(ISNUMBER(BD91),BD91&lt;P_Mindestlohn,Q91&lt;&gt;"Auszubildende/r",Q91&lt;&gt;"Praktikant/in"),"Mindestlohn unterschritten?; ","")&amp;IF(AND(Q91="Minijob (geringfügig)",ISNUMBER(BB91),BB91&gt;P_Minijob),"Minijob-Grenze überschritten; ","")&amp;IF(AND(R91="Ja",S91=""),"Befristung ohne Enddatum; ","")&amp;IF(AND(ISNUMBER(O91),ISNUMBER(N91),O91&lt;N91),"Austritt vor Eintritt; ","")&amp;IF(AND(ISNUMBER(AU91),ISNUMBER(AV91),AU91&lt;AV91),"Urlaub unter gesetzl. Minimum; ","")&amp;IF(AND(ISNUMBER(AC91),ISNUMBER(AF91),ABS(N(AC91)-N(AF91))&gt;0.01),"Wochenstd. weichen vom Modell ab; ","")&amp;IF(AND(AI91="Ja",OR(AJ91="",AK91="")),"Kontogrenzen fehlen; ","")&amp;IF(AND(AL91="Mit Gehalt abgegolten (Pauschale)",AM91=""),"Überstunden-Pauschale fehlt; ",""))="","OK",IF(OR(B91="",C91="",F91="",N91="",Q91="",AB91="",AC91="",AD91="",AU91=""),"Pflichtfelder fehlen; ","")&amp;IF(AND(ISNUMBER(AC91),AC91&gt;P_MaxWoche),"Wochenstunden &gt; Prüfgrenze; ","")&amp;IF(AND(BF91="Ja",ISNUMBER(AC91),AC91&gt;P_MaxWocheJugend),"Jugendlicher &gt; 40 h/Woche; ","")&amp;IF(AND(ISNUMBER(BD91),BD91&lt;P_Mindestlohn,Q91&lt;&gt;"Auszubildende/r",Q91&lt;&gt;"Praktikant/in"),"Mindestlohn unterschritten?; ","")&amp;IF(AND(Q91="Minijob (geringfügig)",ISNUMBER(BB91),BB91&gt;P_Minijob),"Minijob-Grenze überschritten; ","")&amp;IF(AND(R91="Ja",S91=""),"Befristung ohne Enddatum; ","")&amp;IF(AND(ISNUMBER(O91),ISNUMBER(N91),O91&lt;N91),"Austritt vor Eintritt; ","")&amp;IF(AND(ISNUMBER(AU91),ISNUMBER(AV91),AU91&lt;AV91),"Urlaub unter gesetzl. Minimum; ","")&amp;IF(AND(ISNUMBER(AC91),ISNUMBER(AF91),ABS(N(AC91)-N(AF91))&gt;0.01),"Wochenstd. weichen vom Modell ab; ","")&amp;IF(AND(AI91="Ja",OR(AJ91="",AK91="")),"Kontogrenzen fehlen; ","")&amp;IF(AND(AL91="Mit Gehalt abgegolten (Pauschale)",AM91=""),"Überstunden-Pauschale fehlt; ","")))</f>
        <v/>
      </c>
      <c r="BH91" s="38"/>
    </row>
    <row r="92" customFormat="false" ht="15" hidden="false" customHeight="false" outlineLevel="0" collapsed="false">
      <c r="A92" s="37"/>
      <c r="B92" s="38"/>
      <c r="C92" s="38"/>
      <c r="D92" s="38"/>
      <c r="E92" s="38"/>
      <c r="F92" s="39"/>
      <c r="G92" s="38"/>
      <c r="H92" s="38"/>
      <c r="I92" s="37"/>
      <c r="J92" s="38"/>
      <c r="K92" s="38"/>
      <c r="L92" s="38"/>
      <c r="M92" s="38"/>
      <c r="N92" s="39"/>
      <c r="O92" s="39"/>
      <c r="P92" s="38"/>
      <c r="Q92" s="38"/>
      <c r="R92" s="38"/>
      <c r="S92" s="39"/>
      <c r="T92" s="39"/>
      <c r="U92" s="38"/>
      <c r="V92" s="38"/>
      <c r="W92" s="37"/>
      <c r="X92" s="38"/>
      <c r="Y92" s="38"/>
      <c r="Z92" s="37"/>
      <c r="AA92" s="38"/>
      <c r="AB92" s="38"/>
      <c r="AC92" s="40"/>
      <c r="AD92" s="41"/>
      <c r="AE92" s="42" t="str">
        <f aca="false">IF(OR(A92="",NOT(ISNUMBER(AC92)),NOT(ISNUMBER(AD92))),"",IF(AD92&gt;0,AC92/AD92,""))</f>
        <v/>
      </c>
      <c r="AF92" s="42" t="str">
        <f aca="false">IF(OR(A92="",AB92=""),"",IFERROR(INDEX(Arbeitszeitmodelle!$C$5:$C$34,MATCH(AB92,Arbeitszeitmodelle!$A$5:$A$34,0)),""))</f>
        <v/>
      </c>
      <c r="AG92" s="38"/>
      <c r="AH92" s="38"/>
      <c r="AI92" s="38"/>
      <c r="AJ92" s="41"/>
      <c r="AK92" s="41"/>
      <c r="AL92" s="38"/>
      <c r="AM92" s="41"/>
      <c r="AN92" s="38"/>
      <c r="AO92" s="38"/>
      <c r="AP92" s="38"/>
      <c r="AQ92" s="38"/>
      <c r="AR92" s="41"/>
      <c r="AS92" s="40"/>
      <c r="AT92" s="39"/>
      <c r="AU92" s="41"/>
      <c r="AV92" s="43" t="str">
        <f aca="false">IF(OR(A92="",NOT(ISNUMBER(AD92))),"",P_MinUrlaubWerktage/6*AD92)</f>
        <v/>
      </c>
      <c r="AW92" s="43" t="str">
        <f aca="false">IF(A92="","",IF(M92="Ja",P_ZusatzSB*IF(ISNUMBER(AD92),AD92,5)/5,0))</f>
        <v/>
      </c>
      <c r="AX92" s="41"/>
      <c r="AY92" s="39"/>
      <c r="AZ92" s="43" t="str">
        <f aca="false">IF(OR(A92="",NOT(ISNUMBER(AU92))),"",SUM(AU92,AW92,AX92))</f>
        <v/>
      </c>
      <c r="BA92" s="38"/>
      <c r="BB92" s="44"/>
      <c r="BC92" s="44"/>
      <c r="BD92" s="45" t="str">
        <f aca="false">IF(A92="","",IF(BA92="Stundenlohn",IF(ISNUMBER(BC92),BC92,""),IF(AND(ISNUMBER(BB92),ISNUMBER(AC92)),IF(AC92&gt;0,BB92*12/(AC92*52),""),"")))</f>
        <v/>
      </c>
      <c r="BE92" s="46" t="str">
        <f aca="false">IF(OR(A92="",NOT(ISNUMBER(F92))),"",IFERROR(DATEDIF(F92,P_Stichtag,"Y"),""))</f>
        <v/>
      </c>
      <c r="BF92" s="47" t="str">
        <f aca="false">IF(OR(A92="",NOT(ISNUMBER(BE92))),"",IF(BE92&lt;18,"Ja","Nein"))</f>
        <v/>
      </c>
      <c r="BG92" s="48" t="str">
        <f aca="false">IF(A92="","",IF((IF(OR(B92="",C92="",F92="",N92="",Q92="",AB92="",AC92="",AD92="",AU92=""),"Pflichtfelder fehlen; ","")&amp;IF(AND(ISNUMBER(AC92),AC92&gt;P_MaxWoche),"Wochenstunden &gt; Prüfgrenze; ","")&amp;IF(AND(BF92="Ja",ISNUMBER(AC92),AC92&gt;P_MaxWocheJugend),"Jugendlicher &gt; 40 h/Woche; ","")&amp;IF(AND(ISNUMBER(BD92),BD92&lt;P_Mindestlohn,Q92&lt;&gt;"Auszubildende/r",Q92&lt;&gt;"Praktikant/in"),"Mindestlohn unterschritten?; ","")&amp;IF(AND(Q92="Minijob (geringfügig)",ISNUMBER(BB92),BB92&gt;P_Minijob),"Minijob-Grenze überschritten; ","")&amp;IF(AND(R92="Ja",S92=""),"Befristung ohne Enddatum; ","")&amp;IF(AND(ISNUMBER(O92),ISNUMBER(N92),O92&lt;N92),"Austritt vor Eintritt; ","")&amp;IF(AND(ISNUMBER(AU92),ISNUMBER(AV92),AU92&lt;AV92),"Urlaub unter gesetzl. Minimum; ","")&amp;IF(AND(ISNUMBER(AC92),ISNUMBER(AF92),ABS(N(AC92)-N(AF92))&gt;0.01),"Wochenstd. weichen vom Modell ab; ","")&amp;IF(AND(AI92="Ja",OR(AJ92="",AK92="")),"Kontogrenzen fehlen; ","")&amp;IF(AND(AL92="Mit Gehalt abgegolten (Pauschale)",AM92=""),"Überstunden-Pauschale fehlt; ",""))="","OK",IF(OR(B92="",C92="",F92="",N92="",Q92="",AB92="",AC92="",AD92="",AU92=""),"Pflichtfelder fehlen; ","")&amp;IF(AND(ISNUMBER(AC92),AC92&gt;P_MaxWoche),"Wochenstunden &gt; Prüfgrenze; ","")&amp;IF(AND(BF92="Ja",ISNUMBER(AC92),AC92&gt;P_MaxWocheJugend),"Jugendlicher &gt; 40 h/Woche; ","")&amp;IF(AND(ISNUMBER(BD92),BD92&lt;P_Mindestlohn,Q92&lt;&gt;"Auszubildende/r",Q92&lt;&gt;"Praktikant/in"),"Mindestlohn unterschritten?; ","")&amp;IF(AND(Q92="Minijob (geringfügig)",ISNUMBER(BB92),BB92&gt;P_Minijob),"Minijob-Grenze überschritten; ","")&amp;IF(AND(R92="Ja",S92=""),"Befristung ohne Enddatum; ","")&amp;IF(AND(ISNUMBER(O92),ISNUMBER(N92),O92&lt;N92),"Austritt vor Eintritt; ","")&amp;IF(AND(ISNUMBER(AU92),ISNUMBER(AV92),AU92&lt;AV92),"Urlaub unter gesetzl. Minimum; ","")&amp;IF(AND(ISNUMBER(AC92),ISNUMBER(AF92),ABS(N(AC92)-N(AF92))&gt;0.01),"Wochenstd. weichen vom Modell ab; ","")&amp;IF(AND(AI92="Ja",OR(AJ92="",AK92="")),"Kontogrenzen fehlen; ","")&amp;IF(AND(AL92="Mit Gehalt abgegolten (Pauschale)",AM92=""),"Überstunden-Pauschale fehlt; ","")))</f>
        <v/>
      </c>
      <c r="BH92" s="38"/>
    </row>
    <row r="93" customFormat="false" ht="15" hidden="false" customHeight="false" outlineLevel="0" collapsed="false">
      <c r="A93" s="37"/>
      <c r="B93" s="38"/>
      <c r="C93" s="38"/>
      <c r="D93" s="38"/>
      <c r="E93" s="38"/>
      <c r="F93" s="39"/>
      <c r="G93" s="38"/>
      <c r="H93" s="38"/>
      <c r="I93" s="37"/>
      <c r="J93" s="38"/>
      <c r="K93" s="38"/>
      <c r="L93" s="38"/>
      <c r="M93" s="38"/>
      <c r="N93" s="39"/>
      <c r="O93" s="39"/>
      <c r="P93" s="38"/>
      <c r="Q93" s="38"/>
      <c r="R93" s="38"/>
      <c r="S93" s="39"/>
      <c r="T93" s="39"/>
      <c r="U93" s="38"/>
      <c r="V93" s="38"/>
      <c r="W93" s="37"/>
      <c r="X93" s="38"/>
      <c r="Y93" s="38"/>
      <c r="Z93" s="37"/>
      <c r="AA93" s="38"/>
      <c r="AB93" s="38"/>
      <c r="AC93" s="40"/>
      <c r="AD93" s="41"/>
      <c r="AE93" s="42" t="str">
        <f aca="false">IF(OR(A93="",NOT(ISNUMBER(AC93)),NOT(ISNUMBER(AD93))),"",IF(AD93&gt;0,AC93/AD93,""))</f>
        <v/>
      </c>
      <c r="AF93" s="42" t="str">
        <f aca="false">IF(OR(A93="",AB93=""),"",IFERROR(INDEX(Arbeitszeitmodelle!$C$5:$C$34,MATCH(AB93,Arbeitszeitmodelle!$A$5:$A$34,0)),""))</f>
        <v/>
      </c>
      <c r="AG93" s="38"/>
      <c r="AH93" s="38"/>
      <c r="AI93" s="38"/>
      <c r="AJ93" s="41"/>
      <c r="AK93" s="41"/>
      <c r="AL93" s="38"/>
      <c r="AM93" s="41"/>
      <c r="AN93" s="38"/>
      <c r="AO93" s="38"/>
      <c r="AP93" s="38"/>
      <c r="AQ93" s="38"/>
      <c r="AR93" s="41"/>
      <c r="AS93" s="40"/>
      <c r="AT93" s="39"/>
      <c r="AU93" s="41"/>
      <c r="AV93" s="43" t="str">
        <f aca="false">IF(OR(A93="",NOT(ISNUMBER(AD93))),"",P_MinUrlaubWerktage/6*AD93)</f>
        <v/>
      </c>
      <c r="AW93" s="43" t="str">
        <f aca="false">IF(A93="","",IF(M93="Ja",P_ZusatzSB*IF(ISNUMBER(AD93),AD93,5)/5,0))</f>
        <v/>
      </c>
      <c r="AX93" s="41"/>
      <c r="AY93" s="39"/>
      <c r="AZ93" s="43" t="str">
        <f aca="false">IF(OR(A93="",NOT(ISNUMBER(AU93))),"",SUM(AU93,AW93,AX93))</f>
        <v/>
      </c>
      <c r="BA93" s="38"/>
      <c r="BB93" s="44"/>
      <c r="BC93" s="44"/>
      <c r="BD93" s="45" t="str">
        <f aca="false">IF(A93="","",IF(BA93="Stundenlohn",IF(ISNUMBER(BC93),BC93,""),IF(AND(ISNUMBER(BB93),ISNUMBER(AC93)),IF(AC93&gt;0,BB93*12/(AC93*52),""),"")))</f>
        <v/>
      </c>
      <c r="BE93" s="46" t="str">
        <f aca="false">IF(OR(A93="",NOT(ISNUMBER(F93))),"",IFERROR(DATEDIF(F93,P_Stichtag,"Y"),""))</f>
        <v/>
      </c>
      <c r="BF93" s="47" t="str">
        <f aca="false">IF(OR(A93="",NOT(ISNUMBER(BE93))),"",IF(BE93&lt;18,"Ja","Nein"))</f>
        <v/>
      </c>
      <c r="BG93" s="48" t="str">
        <f aca="false">IF(A93="","",IF((IF(OR(B93="",C93="",F93="",N93="",Q93="",AB93="",AC93="",AD93="",AU93=""),"Pflichtfelder fehlen; ","")&amp;IF(AND(ISNUMBER(AC93),AC93&gt;P_MaxWoche),"Wochenstunden &gt; Prüfgrenze; ","")&amp;IF(AND(BF93="Ja",ISNUMBER(AC93),AC93&gt;P_MaxWocheJugend),"Jugendlicher &gt; 40 h/Woche; ","")&amp;IF(AND(ISNUMBER(BD93),BD93&lt;P_Mindestlohn,Q93&lt;&gt;"Auszubildende/r",Q93&lt;&gt;"Praktikant/in"),"Mindestlohn unterschritten?; ","")&amp;IF(AND(Q93="Minijob (geringfügig)",ISNUMBER(BB93),BB93&gt;P_Minijob),"Minijob-Grenze überschritten; ","")&amp;IF(AND(R93="Ja",S93=""),"Befristung ohne Enddatum; ","")&amp;IF(AND(ISNUMBER(O93),ISNUMBER(N93),O93&lt;N93),"Austritt vor Eintritt; ","")&amp;IF(AND(ISNUMBER(AU93),ISNUMBER(AV93),AU93&lt;AV93),"Urlaub unter gesetzl. Minimum; ","")&amp;IF(AND(ISNUMBER(AC93),ISNUMBER(AF93),ABS(N(AC93)-N(AF93))&gt;0.01),"Wochenstd. weichen vom Modell ab; ","")&amp;IF(AND(AI93="Ja",OR(AJ93="",AK93="")),"Kontogrenzen fehlen; ","")&amp;IF(AND(AL93="Mit Gehalt abgegolten (Pauschale)",AM93=""),"Überstunden-Pauschale fehlt; ",""))="","OK",IF(OR(B93="",C93="",F93="",N93="",Q93="",AB93="",AC93="",AD93="",AU93=""),"Pflichtfelder fehlen; ","")&amp;IF(AND(ISNUMBER(AC93),AC93&gt;P_MaxWoche),"Wochenstunden &gt; Prüfgrenze; ","")&amp;IF(AND(BF93="Ja",ISNUMBER(AC93),AC93&gt;P_MaxWocheJugend),"Jugendlicher &gt; 40 h/Woche; ","")&amp;IF(AND(ISNUMBER(BD93),BD93&lt;P_Mindestlohn,Q93&lt;&gt;"Auszubildende/r",Q93&lt;&gt;"Praktikant/in"),"Mindestlohn unterschritten?; ","")&amp;IF(AND(Q93="Minijob (geringfügig)",ISNUMBER(BB93),BB93&gt;P_Minijob),"Minijob-Grenze überschritten; ","")&amp;IF(AND(R93="Ja",S93=""),"Befristung ohne Enddatum; ","")&amp;IF(AND(ISNUMBER(O93),ISNUMBER(N93),O93&lt;N93),"Austritt vor Eintritt; ","")&amp;IF(AND(ISNUMBER(AU93),ISNUMBER(AV93),AU93&lt;AV93),"Urlaub unter gesetzl. Minimum; ","")&amp;IF(AND(ISNUMBER(AC93),ISNUMBER(AF93),ABS(N(AC93)-N(AF93))&gt;0.01),"Wochenstd. weichen vom Modell ab; ","")&amp;IF(AND(AI93="Ja",OR(AJ93="",AK93="")),"Kontogrenzen fehlen; ","")&amp;IF(AND(AL93="Mit Gehalt abgegolten (Pauschale)",AM93=""),"Überstunden-Pauschale fehlt; ","")))</f>
        <v/>
      </c>
      <c r="BH93" s="38"/>
    </row>
    <row r="94" customFormat="false" ht="15" hidden="false" customHeight="false" outlineLevel="0" collapsed="false">
      <c r="A94" s="37"/>
      <c r="B94" s="38"/>
      <c r="C94" s="38"/>
      <c r="D94" s="38"/>
      <c r="E94" s="38"/>
      <c r="F94" s="39"/>
      <c r="G94" s="38"/>
      <c r="H94" s="38"/>
      <c r="I94" s="37"/>
      <c r="J94" s="38"/>
      <c r="K94" s="38"/>
      <c r="L94" s="38"/>
      <c r="M94" s="38"/>
      <c r="N94" s="39"/>
      <c r="O94" s="39"/>
      <c r="P94" s="38"/>
      <c r="Q94" s="38"/>
      <c r="R94" s="38"/>
      <c r="S94" s="39"/>
      <c r="T94" s="39"/>
      <c r="U94" s="38"/>
      <c r="V94" s="38"/>
      <c r="W94" s="37"/>
      <c r="X94" s="38"/>
      <c r="Y94" s="38"/>
      <c r="Z94" s="37"/>
      <c r="AA94" s="38"/>
      <c r="AB94" s="38"/>
      <c r="AC94" s="40"/>
      <c r="AD94" s="41"/>
      <c r="AE94" s="42" t="str">
        <f aca="false">IF(OR(A94="",NOT(ISNUMBER(AC94)),NOT(ISNUMBER(AD94))),"",IF(AD94&gt;0,AC94/AD94,""))</f>
        <v/>
      </c>
      <c r="AF94" s="42" t="str">
        <f aca="false">IF(OR(A94="",AB94=""),"",IFERROR(INDEX(Arbeitszeitmodelle!$C$5:$C$34,MATCH(AB94,Arbeitszeitmodelle!$A$5:$A$34,0)),""))</f>
        <v/>
      </c>
      <c r="AG94" s="38"/>
      <c r="AH94" s="38"/>
      <c r="AI94" s="38"/>
      <c r="AJ94" s="41"/>
      <c r="AK94" s="41"/>
      <c r="AL94" s="38"/>
      <c r="AM94" s="41"/>
      <c r="AN94" s="38"/>
      <c r="AO94" s="38"/>
      <c r="AP94" s="38"/>
      <c r="AQ94" s="38"/>
      <c r="AR94" s="41"/>
      <c r="AS94" s="40"/>
      <c r="AT94" s="39"/>
      <c r="AU94" s="41"/>
      <c r="AV94" s="43" t="str">
        <f aca="false">IF(OR(A94="",NOT(ISNUMBER(AD94))),"",P_MinUrlaubWerktage/6*AD94)</f>
        <v/>
      </c>
      <c r="AW94" s="43" t="str">
        <f aca="false">IF(A94="","",IF(M94="Ja",P_ZusatzSB*IF(ISNUMBER(AD94),AD94,5)/5,0))</f>
        <v/>
      </c>
      <c r="AX94" s="41"/>
      <c r="AY94" s="39"/>
      <c r="AZ94" s="43" t="str">
        <f aca="false">IF(OR(A94="",NOT(ISNUMBER(AU94))),"",SUM(AU94,AW94,AX94))</f>
        <v/>
      </c>
      <c r="BA94" s="38"/>
      <c r="BB94" s="44"/>
      <c r="BC94" s="44"/>
      <c r="BD94" s="45" t="str">
        <f aca="false">IF(A94="","",IF(BA94="Stundenlohn",IF(ISNUMBER(BC94),BC94,""),IF(AND(ISNUMBER(BB94),ISNUMBER(AC94)),IF(AC94&gt;0,BB94*12/(AC94*52),""),"")))</f>
        <v/>
      </c>
      <c r="BE94" s="46" t="str">
        <f aca="false">IF(OR(A94="",NOT(ISNUMBER(F94))),"",IFERROR(DATEDIF(F94,P_Stichtag,"Y"),""))</f>
        <v/>
      </c>
      <c r="BF94" s="47" t="str">
        <f aca="false">IF(OR(A94="",NOT(ISNUMBER(BE94))),"",IF(BE94&lt;18,"Ja","Nein"))</f>
        <v/>
      </c>
      <c r="BG94" s="48" t="str">
        <f aca="false">IF(A94="","",IF((IF(OR(B94="",C94="",F94="",N94="",Q94="",AB94="",AC94="",AD94="",AU94=""),"Pflichtfelder fehlen; ","")&amp;IF(AND(ISNUMBER(AC94),AC94&gt;P_MaxWoche),"Wochenstunden &gt; Prüfgrenze; ","")&amp;IF(AND(BF94="Ja",ISNUMBER(AC94),AC94&gt;P_MaxWocheJugend),"Jugendlicher &gt; 40 h/Woche; ","")&amp;IF(AND(ISNUMBER(BD94),BD94&lt;P_Mindestlohn,Q94&lt;&gt;"Auszubildende/r",Q94&lt;&gt;"Praktikant/in"),"Mindestlohn unterschritten?; ","")&amp;IF(AND(Q94="Minijob (geringfügig)",ISNUMBER(BB94),BB94&gt;P_Minijob),"Minijob-Grenze überschritten; ","")&amp;IF(AND(R94="Ja",S94=""),"Befristung ohne Enddatum; ","")&amp;IF(AND(ISNUMBER(O94),ISNUMBER(N94),O94&lt;N94),"Austritt vor Eintritt; ","")&amp;IF(AND(ISNUMBER(AU94),ISNUMBER(AV94),AU94&lt;AV94),"Urlaub unter gesetzl. Minimum; ","")&amp;IF(AND(ISNUMBER(AC94),ISNUMBER(AF94),ABS(N(AC94)-N(AF94))&gt;0.01),"Wochenstd. weichen vom Modell ab; ","")&amp;IF(AND(AI94="Ja",OR(AJ94="",AK94="")),"Kontogrenzen fehlen; ","")&amp;IF(AND(AL94="Mit Gehalt abgegolten (Pauschale)",AM94=""),"Überstunden-Pauschale fehlt; ",""))="","OK",IF(OR(B94="",C94="",F94="",N94="",Q94="",AB94="",AC94="",AD94="",AU94=""),"Pflichtfelder fehlen; ","")&amp;IF(AND(ISNUMBER(AC94),AC94&gt;P_MaxWoche),"Wochenstunden &gt; Prüfgrenze; ","")&amp;IF(AND(BF94="Ja",ISNUMBER(AC94),AC94&gt;P_MaxWocheJugend),"Jugendlicher &gt; 40 h/Woche; ","")&amp;IF(AND(ISNUMBER(BD94),BD94&lt;P_Mindestlohn,Q94&lt;&gt;"Auszubildende/r",Q94&lt;&gt;"Praktikant/in"),"Mindestlohn unterschritten?; ","")&amp;IF(AND(Q94="Minijob (geringfügig)",ISNUMBER(BB94),BB94&gt;P_Minijob),"Minijob-Grenze überschritten; ","")&amp;IF(AND(R94="Ja",S94=""),"Befristung ohne Enddatum; ","")&amp;IF(AND(ISNUMBER(O94),ISNUMBER(N94),O94&lt;N94),"Austritt vor Eintritt; ","")&amp;IF(AND(ISNUMBER(AU94),ISNUMBER(AV94),AU94&lt;AV94),"Urlaub unter gesetzl. Minimum; ","")&amp;IF(AND(ISNUMBER(AC94),ISNUMBER(AF94),ABS(N(AC94)-N(AF94))&gt;0.01),"Wochenstd. weichen vom Modell ab; ","")&amp;IF(AND(AI94="Ja",OR(AJ94="",AK94="")),"Kontogrenzen fehlen; ","")&amp;IF(AND(AL94="Mit Gehalt abgegolten (Pauschale)",AM94=""),"Überstunden-Pauschale fehlt; ","")))</f>
        <v/>
      </c>
      <c r="BH94" s="38"/>
    </row>
    <row r="95" customFormat="false" ht="15" hidden="false" customHeight="false" outlineLevel="0" collapsed="false">
      <c r="A95" s="37"/>
      <c r="B95" s="38"/>
      <c r="C95" s="38"/>
      <c r="D95" s="38"/>
      <c r="E95" s="38"/>
      <c r="F95" s="39"/>
      <c r="G95" s="38"/>
      <c r="H95" s="38"/>
      <c r="I95" s="37"/>
      <c r="J95" s="38"/>
      <c r="K95" s="38"/>
      <c r="L95" s="38"/>
      <c r="M95" s="38"/>
      <c r="N95" s="39"/>
      <c r="O95" s="39"/>
      <c r="P95" s="38"/>
      <c r="Q95" s="38"/>
      <c r="R95" s="38"/>
      <c r="S95" s="39"/>
      <c r="T95" s="39"/>
      <c r="U95" s="38"/>
      <c r="V95" s="38"/>
      <c r="W95" s="37"/>
      <c r="X95" s="38"/>
      <c r="Y95" s="38"/>
      <c r="Z95" s="37"/>
      <c r="AA95" s="38"/>
      <c r="AB95" s="38"/>
      <c r="AC95" s="40"/>
      <c r="AD95" s="41"/>
      <c r="AE95" s="42" t="str">
        <f aca="false">IF(OR(A95="",NOT(ISNUMBER(AC95)),NOT(ISNUMBER(AD95))),"",IF(AD95&gt;0,AC95/AD95,""))</f>
        <v/>
      </c>
      <c r="AF95" s="42" t="str">
        <f aca="false">IF(OR(A95="",AB95=""),"",IFERROR(INDEX(Arbeitszeitmodelle!$C$5:$C$34,MATCH(AB95,Arbeitszeitmodelle!$A$5:$A$34,0)),""))</f>
        <v/>
      </c>
      <c r="AG95" s="38"/>
      <c r="AH95" s="38"/>
      <c r="AI95" s="38"/>
      <c r="AJ95" s="41"/>
      <c r="AK95" s="41"/>
      <c r="AL95" s="38"/>
      <c r="AM95" s="41"/>
      <c r="AN95" s="38"/>
      <c r="AO95" s="38"/>
      <c r="AP95" s="38"/>
      <c r="AQ95" s="38"/>
      <c r="AR95" s="41"/>
      <c r="AS95" s="40"/>
      <c r="AT95" s="39"/>
      <c r="AU95" s="41"/>
      <c r="AV95" s="43" t="str">
        <f aca="false">IF(OR(A95="",NOT(ISNUMBER(AD95))),"",P_MinUrlaubWerktage/6*AD95)</f>
        <v/>
      </c>
      <c r="AW95" s="43" t="str">
        <f aca="false">IF(A95="","",IF(M95="Ja",P_ZusatzSB*IF(ISNUMBER(AD95),AD95,5)/5,0))</f>
        <v/>
      </c>
      <c r="AX95" s="41"/>
      <c r="AY95" s="39"/>
      <c r="AZ95" s="43" t="str">
        <f aca="false">IF(OR(A95="",NOT(ISNUMBER(AU95))),"",SUM(AU95,AW95,AX95))</f>
        <v/>
      </c>
      <c r="BA95" s="38"/>
      <c r="BB95" s="44"/>
      <c r="BC95" s="44"/>
      <c r="BD95" s="45" t="str">
        <f aca="false">IF(A95="","",IF(BA95="Stundenlohn",IF(ISNUMBER(BC95),BC95,""),IF(AND(ISNUMBER(BB95),ISNUMBER(AC95)),IF(AC95&gt;0,BB95*12/(AC95*52),""),"")))</f>
        <v/>
      </c>
      <c r="BE95" s="46" t="str">
        <f aca="false">IF(OR(A95="",NOT(ISNUMBER(F95))),"",IFERROR(DATEDIF(F95,P_Stichtag,"Y"),""))</f>
        <v/>
      </c>
      <c r="BF95" s="47" t="str">
        <f aca="false">IF(OR(A95="",NOT(ISNUMBER(BE95))),"",IF(BE95&lt;18,"Ja","Nein"))</f>
        <v/>
      </c>
      <c r="BG95" s="48" t="str">
        <f aca="false">IF(A95="","",IF((IF(OR(B95="",C95="",F95="",N95="",Q95="",AB95="",AC95="",AD95="",AU95=""),"Pflichtfelder fehlen; ","")&amp;IF(AND(ISNUMBER(AC95),AC95&gt;P_MaxWoche),"Wochenstunden &gt; Prüfgrenze; ","")&amp;IF(AND(BF95="Ja",ISNUMBER(AC95),AC95&gt;P_MaxWocheJugend),"Jugendlicher &gt; 40 h/Woche; ","")&amp;IF(AND(ISNUMBER(BD95),BD95&lt;P_Mindestlohn,Q95&lt;&gt;"Auszubildende/r",Q95&lt;&gt;"Praktikant/in"),"Mindestlohn unterschritten?; ","")&amp;IF(AND(Q95="Minijob (geringfügig)",ISNUMBER(BB95),BB95&gt;P_Minijob),"Minijob-Grenze überschritten; ","")&amp;IF(AND(R95="Ja",S95=""),"Befristung ohne Enddatum; ","")&amp;IF(AND(ISNUMBER(O95),ISNUMBER(N95),O95&lt;N95),"Austritt vor Eintritt; ","")&amp;IF(AND(ISNUMBER(AU95),ISNUMBER(AV95),AU95&lt;AV95),"Urlaub unter gesetzl. Minimum; ","")&amp;IF(AND(ISNUMBER(AC95),ISNUMBER(AF95),ABS(N(AC95)-N(AF95))&gt;0.01),"Wochenstd. weichen vom Modell ab; ","")&amp;IF(AND(AI95="Ja",OR(AJ95="",AK95="")),"Kontogrenzen fehlen; ","")&amp;IF(AND(AL95="Mit Gehalt abgegolten (Pauschale)",AM95=""),"Überstunden-Pauschale fehlt; ",""))="","OK",IF(OR(B95="",C95="",F95="",N95="",Q95="",AB95="",AC95="",AD95="",AU95=""),"Pflichtfelder fehlen; ","")&amp;IF(AND(ISNUMBER(AC95),AC95&gt;P_MaxWoche),"Wochenstunden &gt; Prüfgrenze; ","")&amp;IF(AND(BF95="Ja",ISNUMBER(AC95),AC95&gt;P_MaxWocheJugend),"Jugendlicher &gt; 40 h/Woche; ","")&amp;IF(AND(ISNUMBER(BD95),BD95&lt;P_Mindestlohn,Q95&lt;&gt;"Auszubildende/r",Q95&lt;&gt;"Praktikant/in"),"Mindestlohn unterschritten?; ","")&amp;IF(AND(Q95="Minijob (geringfügig)",ISNUMBER(BB95),BB95&gt;P_Minijob),"Minijob-Grenze überschritten; ","")&amp;IF(AND(R95="Ja",S95=""),"Befristung ohne Enddatum; ","")&amp;IF(AND(ISNUMBER(O95),ISNUMBER(N95),O95&lt;N95),"Austritt vor Eintritt; ","")&amp;IF(AND(ISNUMBER(AU95),ISNUMBER(AV95),AU95&lt;AV95),"Urlaub unter gesetzl. Minimum; ","")&amp;IF(AND(ISNUMBER(AC95),ISNUMBER(AF95),ABS(N(AC95)-N(AF95))&gt;0.01),"Wochenstd. weichen vom Modell ab; ","")&amp;IF(AND(AI95="Ja",OR(AJ95="",AK95="")),"Kontogrenzen fehlen; ","")&amp;IF(AND(AL95="Mit Gehalt abgegolten (Pauschale)",AM95=""),"Überstunden-Pauschale fehlt; ","")))</f>
        <v/>
      </c>
      <c r="BH95" s="38"/>
    </row>
    <row r="96" customFormat="false" ht="15" hidden="false" customHeight="false" outlineLevel="0" collapsed="false">
      <c r="A96" s="37"/>
      <c r="B96" s="38"/>
      <c r="C96" s="38"/>
      <c r="D96" s="38"/>
      <c r="E96" s="38"/>
      <c r="F96" s="39"/>
      <c r="G96" s="38"/>
      <c r="H96" s="38"/>
      <c r="I96" s="37"/>
      <c r="J96" s="38"/>
      <c r="K96" s="38"/>
      <c r="L96" s="38"/>
      <c r="M96" s="38"/>
      <c r="N96" s="39"/>
      <c r="O96" s="39"/>
      <c r="P96" s="38"/>
      <c r="Q96" s="38"/>
      <c r="R96" s="38"/>
      <c r="S96" s="39"/>
      <c r="T96" s="39"/>
      <c r="U96" s="38"/>
      <c r="V96" s="38"/>
      <c r="W96" s="37"/>
      <c r="X96" s="38"/>
      <c r="Y96" s="38"/>
      <c r="Z96" s="37"/>
      <c r="AA96" s="38"/>
      <c r="AB96" s="38"/>
      <c r="AC96" s="40"/>
      <c r="AD96" s="41"/>
      <c r="AE96" s="42" t="str">
        <f aca="false">IF(OR(A96="",NOT(ISNUMBER(AC96)),NOT(ISNUMBER(AD96))),"",IF(AD96&gt;0,AC96/AD96,""))</f>
        <v/>
      </c>
      <c r="AF96" s="42" t="str">
        <f aca="false">IF(OR(A96="",AB96=""),"",IFERROR(INDEX(Arbeitszeitmodelle!$C$5:$C$34,MATCH(AB96,Arbeitszeitmodelle!$A$5:$A$34,0)),""))</f>
        <v/>
      </c>
      <c r="AG96" s="38"/>
      <c r="AH96" s="38"/>
      <c r="AI96" s="38"/>
      <c r="AJ96" s="41"/>
      <c r="AK96" s="41"/>
      <c r="AL96" s="38"/>
      <c r="AM96" s="41"/>
      <c r="AN96" s="38"/>
      <c r="AO96" s="38"/>
      <c r="AP96" s="38"/>
      <c r="AQ96" s="38"/>
      <c r="AR96" s="41"/>
      <c r="AS96" s="40"/>
      <c r="AT96" s="39"/>
      <c r="AU96" s="41"/>
      <c r="AV96" s="43" t="str">
        <f aca="false">IF(OR(A96="",NOT(ISNUMBER(AD96))),"",P_MinUrlaubWerktage/6*AD96)</f>
        <v/>
      </c>
      <c r="AW96" s="43" t="str">
        <f aca="false">IF(A96="","",IF(M96="Ja",P_ZusatzSB*IF(ISNUMBER(AD96),AD96,5)/5,0))</f>
        <v/>
      </c>
      <c r="AX96" s="41"/>
      <c r="AY96" s="39"/>
      <c r="AZ96" s="43" t="str">
        <f aca="false">IF(OR(A96="",NOT(ISNUMBER(AU96))),"",SUM(AU96,AW96,AX96))</f>
        <v/>
      </c>
      <c r="BA96" s="38"/>
      <c r="BB96" s="44"/>
      <c r="BC96" s="44"/>
      <c r="BD96" s="45" t="str">
        <f aca="false">IF(A96="","",IF(BA96="Stundenlohn",IF(ISNUMBER(BC96),BC96,""),IF(AND(ISNUMBER(BB96),ISNUMBER(AC96)),IF(AC96&gt;0,BB96*12/(AC96*52),""),"")))</f>
        <v/>
      </c>
      <c r="BE96" s="46" t="str">
        <f aca="false">IF(OR(A96="",NOT(ISNUMBER(F96))),"",IFERROR(DATEDIF(F96,P_Stichtag,"Y"),""))</f>
        <v/>
      </c>
      <c r="BF96" s="47" t="str">
        <f aca="false">IF(OR(A96="",NOT(ISNUMBER(BE96))),"",IF(BE96&lt;18,"Ja","Nein"))</f>
        <v/>
      </c>
      <c r="BG96" s="48" t="str">
        <f aca="false">IF(A96="","",IF((IF(OR(B96="",C96="",F96="",N96="",Q96="",AB96="",AC96="",AD96="",AU96=""),"Pflichtfelder fehlen; ","")&amp;IF(AND(ISNUMBER(AC96),AC96&gt;P_MaxWoche),"Wochenstunden &gt; Prüfgrenze; ","")&amp;IF(AND(BF96="Ja",ISNUMBER(AC96),AC96&gt;P_MaxWocheJugend),"Jugendlicher &gt; 40 h/Woche; ","")&amp;IF(AND(ISNUMBER(BD96),BD96&lt;P_Mindestlohn,Q96&lt;&gt;"Auszubildende/r",Q96&lt;&gt;"Praktikant/in"),"Mindestlohn unterschritten?; ","")&amp;IF(AND(Q96="Minijob (geringfügig)",ISNUMBER(BB96),BB96&gt;P_Minijob),"Minijob-Grenze überschritten; ","")&amp;IF(AND(R96="Ja",S96=""),"Befristung ohne Enddatum; ","")&amp;IF(AND(ISNUMBER(O96),ISNUMBER(N96),O96&lt;N96),"Austritt vor Eintritt; ","")&amp;IF(AND(ISNUMBER(AU96),ISNUMBER(AV96),AU96&lt;AV96),"Urlaub unter gesetzl. Minimum; ","")&amp;IF(AND(ISNUMBER(AC96),ISNUMBER(AF96),ABS(N(AC96)-N(AF96))&gt;0.01),"Wochenstd. weichen vom Modell ab; ","")&amp;IF(AND(AI96="Ja",OR(AJ96="",AK96="")),"Kontogrenzen fehlen; ","")&amp;IF(AND(AL96="Mit Gehalt abgegolten (Pauschale)",AM96=""),"Überstunden-Pauschale fehlt; ",""))="","OK",IF(OR(B96="",C96="",F96="",N96="",Q96="",AB96="",AC96="",AD96="",AU96=""),"Pflichtfelder fehlen; ","")&amp;IF(AND(ISNUMBER(AC96),AC96&gt;P_MaxWoche),"Wochenstunden &gt; Prüfgrenze; ","")&amp;IF(AND(BF96="Ja",ISNUMBER(AC96),AC96&gt;P_MaxWocheJugend),"Jugendlicher &gt; 40 h/Woche; ","")&amp;IF(AND(ISNUMBER(BD96),BD96&lt;P_Mindestlohn,Q96&lt;&gt;"Auszubildende/r",Q96&lt;&gt;"Praktikant/in"),"Mindestlohn unterschritten?; ","")&amp;IF(AND(Q96="Minijob (geringfügig)",ISNUMBER(BB96),BB96&gt;P_Minijob),"Minijob-Grenze überschritten; ","")&amp;IF(AND(R96="Ja",S96=""),"Befristung ohne Enddatum; ","")&amp;IF(AND(ISNUMBER(O96),ISNUMBER(N96),O96&lt;N96),"Austritt vor Eintritt; ","")&amp;IF(AND(ISNUMBER(AU96),ISNUMBER(AV96),AU96&lt;AV96),"Urlaub unter gesetzl. Minimum; ","")&amp;IF(AND(ISNUMBER(AC96),ISNUMBER(AF96),ABS(N(AC96)-N(AF96))&gt;0.01),"Wochenstd. weichen vom Modell ab; ","")&amp;IF(AND(AI96="Ja",OR(AJ96="",AK96="")),"Kontogrenzen fehlen; ","")&amp;IF(AND(AL96="Mit Gehalt abgegolten (Pauschale)",AM96=""),"Überstunden-Pauschale fehlt; ","")))</f>
        <v/>
      </c>
      <c r="BH96" s="38"/>
    </row>
    <row r="97" customFormat="false" ht="15" hidden="false" customHeight="false" outlineLevel="0" collapsed="false">
      <c r="A97" s="37"/>
      <c r="B97" s="38"/>
      <c r="C97" s="38"/>
      <c r="D97" s="38"/>
      <c r="E97" s="38"/>
      <c r="F97" s="39"/>
      <c r="G97" s="38"/>
      <c r="H97" s="38"/>
      <c r="I97" s="37"/>
      <c r="J97" s="38"/>
      <c r="K97" s="38"/>
      <c r="L97" s="38"/>
      <c r="M97" s="38"/>
      <c r="N97" s="39"/>
      <c r="O97" s="39"/>
      <c r="P97" s="38"/>
      <c r="Q97" s="38"/>
      <c r="R97" s="38"/>
      <c r="S97" s="39"/>
      <c r="T97" s="39"/>
      <c r="U97" s="38"/>
      <c r="V97" s="38"/>
      <c r="W97" s="37"/>
      <c r="X97" s="38"/>
      <c r="Y97" s="38"/>
      <c r="Z97" s="37"/>
      <c r="AA97" s="38"/>
      <c r="AB97" s="38"/>
      <c r="AC97" s="40"/>
      <c r="AD97" s="41"/>
      <c r="AE97" s="42" t="str">
        <f aca="false">IF(OR(A97="",NOT(ISNUMBER(AC97)),NOT(ISNUMBER(AD97))),"",IF(AD97&gt;0,AC97/AD97,""))</f>
        <v/>
      </c>
      <c r="AF97" s="42" t="str">
        <f aca="false">IF(OR(A97="",AB97=""),"",IFERROR(INDEX(Arbeitszeitmodelle!$C$5:$C$34,MATCH(AB97,Arbeitszeitmodelle!$A$5:$A$34,0)),""))</f>
        <v/>
      </c>
      <c r="AG97" s="38"/>
      <c r="AH97" s="38"/>
      <c r="AI97" s="38"/>
      <c r="AJ97" s="41"/>
      <c r="AK97" s="41"/>
      <c r="AL97" s="38"/>
      <c r="AM97" s="41"/>
      <c r="AN97" s="38"/>
      <c r="AO97" s="38"/>
      <c r="AP97" s="38"/>
      <c r="AQ97" s="38"/>
      <c r="AR97" s="41"/>
      <c r="AS97" s="40"/>
      <c r="AT97" s="39"/>
      <c r="AU97" s="41"/>
      <c r="AV97" s="43" t="str">
        <f aca="false">IF(OR(A97="",NOT(ISNUMBER(AD97))),"",P_MinUrlaubWerktage/6*AD97)</f>
        <v/>
      </c>
      <c r="AW97" s="43" t="str">
        <f aca="false">IF(A97="","",IF(M97="Ja",P_ZusatzSB*IF(ISNUMBER(AD97),AD97,5)/5,0))</f>
        <v/>
      </c>
      <c r="AX97" s="41"/>
      <c r="AY97" s="39"/>
      <c r="AZ97" s="43" t="str">
        <f aca="false">IF(OR(A97="",NOT(ISNUMBER(AU97))),"",SUM(AU97,AW97,AX97))</f>
        <v/>
      </c>
      <c r="BA97" s="38"/>
      <c r="BB97" s="44"/>
      <c r="BC97" s="44"/>
      <c r="BD97" s="45" t="str">
        <f aca="false">IF(A97="","",IF(BA97="Stundenlohn",IF(ISNUMBER(BC97),BC97,""),IF(AND(ISNUMBER(BB97),ISNUMBER(AC97)),IF(AC97&gt;0,BB97*12/(AC97*52),""),"")))</f>
        <v/>
      </c>
      <c r="BE97" s="46" t="str">
        <f aca="false">IF(OR(A97="",NOT(ISNUMBER(F97))),"",IFERROR(DATEDIF(F97,P_Stichtag,"Y"),""))</f>
        <v/>
      </c>
      <c r="BF97" s="47" t="str">
        <f aca="false">IF(OR(A97="",NOT(ISNUMBER(BE97))),"",IF(BE97&lt;18,"Ja","Nein"))</f>
        <v/>
      </c>
      <c r="BG97" s="48" t="str">
        <f aca="false">IF(A97="","",IF((IF(OR(B97="",C97="",F97="",N97="",Q97="",AB97="",AC97="",AD97="",AU97=""),"Pflichtfelder fehlen; ","")&amp;IF(AND(ISNUMBER(AC97),AC97&gt;P_MaxWoche),"Wochenstunden &gt; Prüfgrenze; ","")&amp;IF(AND(BF97="Ja",ISNUMBER(AC97),AC97&gt;P_MaxWocheJugend),"Jugendlicher &gt; 40 h/Woche; ","")&amp;IF(AND(ISNUMBER(BD97),BD97&lt;P_Mindestlohn,Q97&lt;&gt;"Auszubildende/r",Q97&lt;&gt;"Praktikant/in"),"Mindestlohn unterschritten?; ","")&amp;IF(AND(Q97="Minijob (geringfügig)",ISNUMBER(BB97),BB97&gt;P_Minijob),"Minijob-Grenze überschritten; ","")&amp;IF(AND(R97="Ja",S97=""),"Befristung ohne Enddatum; ","")&amp;IF(AND(ISNUMBER(O97),ISNUMBER(N97),O97&lt;N97),"Austritt vor Eintritt; ","")&amp;IF(AND(ISNUMBER(AU97),ISNUMBER(AV97),AU97&lt;AV97),"Urlaub unter gesetzl. Minimum; ","")&amp;IF(AND(ISNUMBER(AC97),ISNUMBER(AF97),ABS(N(AC97)-N(AF97))&gt;0.01),"Wochenstd. weichen vom Modell ab; ","")&amp;IF(AND(AI97="Ja",OR(AJ97="",AK97="")),"Kontogrenzen fehlen; ","")&amp;IF(AND(AL97="Mit Gehalt abgegolten (Pauschale)",AM97=""),"Überstunden-Pauschale fehlt; ",""))="","OK",IF(OR(B97="",C97="",F97="",N97="",Q97="",AB97="",AC97="",AD97="",AU97=""),"Pflichtfelder fehlen; ","")&amp;IF(AND(ISNUMBER(AC97),AC97&gt;P_MaxWoche),"Wochenstunden &gt; Prüfgrenze; ","")&amp;IF(AND(BF97="Ja",ISNUMBER(AC97),AC97&gt;P_MaxWocheJugend),"Jugendlicher &gt; 40 h/Woche; ","")&amp;IF(AND(ISNUMBER(BD97),BD97&lt;P_Mindestlohn,Q97&lt;&gt;"Auszubildende/r",Q97&lt;&gt;"Praktikant/in"),"Mindestlohn unterschritten?; ","")&amp;IF(AND(Q97="Minijob (geringfügig)",ISNUMBER(BB97),BB97&gt;P_Minijob),"Minijob-Grenze überschritten; ","")&amp;IF(AND(R97="Ja",S97=""),"Befristung ohne Enddatum; ","")&amp;IF(AND(ISNUMBER(O97),ISNUMBER(N97),O97&lt;N97),"Austritt vor Eintritt; ","")&amp;IF(AND(ISNUMBER(AU97),ISNUMBER(AV97),AU97&lt;AV97),"Urlaub unter gesetzl. Minimum; ","")&amp;IF(AND(ISNUMBER(AC97),ISNUMBER(AF97),ABS(N(AC97)-N(AF97))&gt;0.01),"Wochenstd. weichen vom Modell ab; ","")&amp;IF(AND(AI97="Ja",OR(AJ97="",AK97="")),"Kontogrenzen fehlen; ","")&amp;IF(AND(AL97="Mit Gehalt abgegolten (Pauschale)",AM97=""),"Überstunden-Pauschale fehlt; ","")))</f>
        <v/>
      </c>
      <c r="BH97" s="38"/>
    </row>
    <row r="98" customFormat="false" ht="15" hidden="false" customHeight="false" outlineLevel="0" collapsed="false">
      <c r="A98" s="37"/>
      <c r="B98" s="38"/>
      <c r="C98" s="38"/>
      <c r="D98" s="38"/>
      <c r="E98" s="38"/>
      <c r="F98" s="39"/>
      <c r="G98" s="38"/>
      <c r="H98" s="38"/>
      <c r="I98" s="37"/>
      <c r="J98" s="38"/>
      <c r="K98" s="38"/>
      <c r="L98" s="38"/>
      <c r="M98" s="38"/>
      <c r="N98" s="39"/>
      <c r="O98" s="39"/>
      <c r="P98" s="38"/>
      <c r="Q98" s="38"/>
      <c r="R98" s="38"/>
      <c r="S98" s="39"/>
      <c r="T98" s="39"/>
      <c r="U98" s="38"/>
      <c r="V98" s="38"/>
      <c r="W98" s="37"/>
      <c r="X98" s="38"/>
      <c r="Y98" s="38"/>
      <c r="Z98" s="37"/>
      <c r="AA98" s="38"/>
      <c r="AB98" s="38"/>
      <c r="AC98" s="40"/>
      <c r="AD98" s="41"/>
      <c r="AE98" s="42" t="str">
        <f aca="false">IF(OR(A98="",NOT(ISNUMBER(AC98)),NOT(ISNUMBER(AD98))),"",IF(AD98&gt;0,AC98/AD98,""))</f>
        <v/>
      </c>
      <c r="AF98" s="42" t="str">
        <f aca="false">IF(OR(A98="",AB98=""),"",IFERROR(INDEX(Arbeitszeitmodelle!$C$5:$C$34,MATCH(AB98,Arbeitszeitmodelle!$A$5:$A$34,0)),""))</f>
        <v/>
      </c>
      <c r="AG98" s="38"/>
      <c r="AH98" s="38"/>
      <c r="AI98" s="38"/>
      <c r="AJ98" s="41"/>
      <c r="AK98" s="41"/>
      <c r="AL98" s="38"/>
      <c r="AM98" s="41"/>
      <c r="AN98" s="38"/>
      <c r="AO98" s="38"/>
      <c r="AP98" s="38"/>
      <c r="AQ98" s="38"/>
      <c r="AR98" s="41"/>
      <c r="AS98" s="40"/>
      <c r="AT98" s="39"/>
      <c r="AU98" s="41"/>
      <c r="AV98" s="43" t="str">
        <f aca="false">IF(OR(A98="",NOT(ISNUMBER(AD98))),"",P_MinUrlaubWerktage/6*AD98)</f>
        <v/>
      </c>
      <c r="AW98" s="43" t="str">
        <f aca="false">IF(A98="","",IF(M98="Ja",P_ZusatzSB*IF(ISNUMBER(AD98),AD98,5)/5,0))</f>
        <v/>
      </c>
      <c r="AX98" s="41"/>
      <c r="AY98" s="39"/>
      <c r="AZ98" s="43" t="str">
        <f aca="false">IF(OR(A98="",NOT(ISNUMBER(AU98))),"",SUM(AU98,AW98,AX98))</f>
        <v/>
      </c>
      <c r="BA98" s="38"/>
      <c r="BB98" s="44"/>
      <c r="BC98" s="44"/>
      <c r="BD98" s="45" t="str">
        <f aca="false">IF(A98="","",IF(BA98="Stundenlohn",IF(ISNUMBER(BC98),BC98,""),IF(AND(ISNUMBER(BB98),ISNUMBER(AC98)),IF(AC98&gt;0,BB98*12/(AC98*52),""),"")))</f>
        <v/>
      </c>
      <c r="BE98" s="46" t="str">
        <f aca="false">IF(OR(A98="",NOT(ISNUMBER(F98))),"",IFERROR(DATEDIF(F98,P_Stichtag,"Y"),""))</f>
        <v/>
      </c>
      <c r="BF98" s="47" t="str">
        <f aca="false">IF(OR(A98="",NOT(ISNUMBER(BE98))),"",IF(BE98&lt;18,"Ja","Nein"))</f>
        <v/>
      </c>
      <c r="BG98" s="48" t="str">
        <f aca="false">IF(A98="","",IF((IF(OR(B98="",C98="",F98="",N98="",Q98="",AB98="",AC98="",AD98="",AU98=""),"Pflichtfelder fehlen; ","")&amp;IF(AND(ISNUMBER(AC98),AC98&gt;P_MaxWoche),"Wochenstunden &gt; Prüfgrenze; ","")&amp;IF(AND(BF98="Ja",ISNUMBER(AC98),AC98&gt;P_MaxWocheJugend),"Jugendlicher &gt; 40 h/Woche; ","")&amp;IF(AND(ISNUMBER(BD98),BD98&lt;P_Mindestlohn,Q98&lt;&gt;"Auszubildende/r",Q98&lt;&gt;"Praktikant/in"),"Mindestlohn unterschritten?; ","")&amp;IF(AND(Q98="Minijob (geringfügig)",ISNUMBER(BB98),BB98&gt;P_Minijob),"Minijob-Grenze überschritten; ","")&amp;IF(AND(R98="Ja",S98=""),"Befristung ohne Enddatum; ","")&amp;IF(AND(ISNUMBER(O98),ISNUMBER(N98),O98&lt;N98),"Austritt vor Eintritt; ","")&amp;IF(AND(ISNUMBER(AU98),ISNUMBER(AV98),AU98&lt;AV98),"Urlaub unter gesetzl. Minimum; ","")&amp;IF(AND(ISNUMBER(AC98),ISNUMBER(AF98),ABS(N(AC98)-N(AF98))&gt;0.01),"Wochenstd. weichen vom Modell ab; ","")&amp;IF(AND(AI98="Ja",OR(AJ98="",AK98="")),"Kontogrenzen fehlen; ","")&amp;IF(AND(AL98="Mit Gehalt abgegolten (Pauschale)",AM98=""),"Überstunden-Pauschale fehlt; ",""))="","OK",IF(OR(B98="",C98="",F98="",N98="",Q98="",AB98="",AC98="",AD98="",AU98=""),"Pflichtfelder fehlen; ","")&amp;IF(AND(ISNUMBER(AC98),AC98&gt;P_MaxWoche),"Wochenstunden &gt; Prüfgrenze; ","")&amp;IF(AND(BF98="Ja",ISNUMBER(AC98),AC98&gt;P_MaxWocheJugend),"Jugendlicher &gt; 40 h/Woche; ","")&amp;IF(AND(ISNUMBER(BD98),BD98&lt;P_Mindestlohn,Q98&lt;&gt;"Auszubildende/r",Q98&lt;&gt;"Praktikant/in"),"Mindestlohn unterschritten?; ","")&amp;IF(AND(Q98="Minijob (geringfügig)",ISNUMBER(BB98),BB98&gt;P_Minijob),"Minijob-Grenze überschritten; ","")&amp;IF(AND(R98="Ja",S98=""),"Befristung ohne Enddatum; ","")&amp;IF(AND(ISNUMBER(O98),ISNUMBER(N98),O98&lt;N98),"Austritt vor Eintritt; ","")&amp;IF(AND(ISNUMBER(AU98),ISNUMBER(AV98),AU98&lt;AV98),"Urlaub unter gesetzl. Minimum; ","")&amp;IF(AND(ISNUMBER(AC98),ISNUMBER(AF98),ABS(N(AC98)-N(AF98))&gt;0.01),"Wochenstd. weichen vom Modell ab; ","")&amp;IF(AND(AI98="Ja",OR(AJ98="",AK98="")),"Kontogrenzen fehlen; ","")&amp;IF(AND(AL98="Mit Gehalt abgegolten (Pauschale)",AM98=""),"Überstunden-Pauschale fehlt; ","")))</f>
        <v/>
      </c>
      <c r="BH98" s="38"/>
    </row>
    <row r="99" customFormat="false" ht="15" hidden="false" customHeight="false" outlineLevel="0" collapsed="false">
      <c r="A99" s="37"/>
      <c r="B99" s="38"/>
      <c r="C99" s="38"/>
      <c r="D99" s="38"/>
      <c r="E99" s="38"/>
      <c r="F99" s="39"/>
      <c r="G99" s="38"/>
      <c r="H99" s="38"/>
      <c r="I99" s="37"/>
      <c r="J99" s="38"/>
      <c r="K99" s="38"/>
      <c r="L99" s="38"/>
      <c r="M99" s="38"/>
      <c r="N99" s="39"/>
      <c r="O99" s="39"/>
      <c r="P99" s="38"/>
      <c r="Q99" s="38"/>
      <c r="R99" s="38"/>
      <c r="S99" s="39"/>
      <c r="T99" s="39"/>
      <c r="U99" s="38"/>
      <c r="V99" s="38"/>
      <c r="W99" s="37"/>
      <c r="X99" s="38"/>
      <c r="Y99" s="38"/>
      <c r="Z99" s="37"/>
      <c r="AA99" s="38"/>
      <c r="AB99" s="38"/>
      <c r="AC99" s="40"/>
      <c r="AD99" s="41"/>
      <c r="AE99" s="42" t="str">
        <f aca="false">IF(OR(A99="",NOT(ISNUMBER(AC99)),NOT(ISNUMBER(AD99))),"",IF(AD99&gt;0,AC99/AD99,""))</f>
        <v/>
      </c>
      <c r="AF99" s="42" t="str">
        <f aca="false">IF(OR(A99="",AB99=""),"",IFERROR(INDEX(Arbeitszeitmodelle!$C$5:$C$34,MATCH(AB99,Arbeitszeitmodelle!$A$5:$A$34,0)),""))</f>
        <v/>
      </c>
      <c r="AG99" s="38"/>
      <c r="AH99" s="38"/>
      <c r="AI99" s="38"/>
      <c r="AJ99" s="41"/>
      <c r="AK99" s="41"/>
      <c r="AL99" s="38"/>
      <c r="AM99" s="41"/>
      <c r="AN99" s="38"/>
      <c r="AO99" s="38"/>
      <c r="AP99" s="38"/>
      <c r="AQ99" s="38"/>
      <c r="AR99" s="41"/>
      <c r="AS99" s="40"/>
      <c r="AT99" s="39"/>
      <c r="AU99" s="41"/>
      <c r="AV99" s="43" t="str">
        <f aca="false">IF(OR(A99="",NOT(ISNUMBER(AD99))),"",P_MinUrlaubWerktage/6*AD99)</f>
        <v/>
      </c>
      <c r="AW99" s="43" t="str">
        <f aca="false">IF(A99="","",IF(M99="Ja",P_ZusatzSB*IF(ISNUMBER(AD99),AD99,5)/5,0))</f>
        <v/>
      </c>
      <c r="AX99" s="41"/>
      <c r="AY99" s="39"/>
      <c r="AZ99" s="43" t="str">
        <f aca="false">IF(OR(A99="",NOT(ISNUMBER(AU99))),"",SUM(AU99,AW99,AX99))</f>
        <v/>
      </c>
      <c r="BA99" s="38"/>
      <c r="BB99" s="44"/>
      <c r="BC99" s="44"/>
      <c r="BD99" s="45" t="str">
        <f aca="false">IF(A99="","",IF(BA99="Stundenlohn",IF(ISNUMBER(BC99),BC99,""),IF(AND(ISNUMBER(BB99),ISNUMBER(AC99)),IF(AC99&gt;0,BB99*12/(AC99*52),""),"")))</f>
        <v/>
      </c>
      <c r="BE99" s="46" t="str">
        <f aca="false">IF(OR(A99="",NOT(ISNUMBER(F99))),"",IFERROR(DATEDIF(F99,P_Stichtag,"Y"),""))</f>
        <v/>
      </c>
      <c r="BF99" s="47" t="str">
        <f aca="false">IF(OR(A99="",NOT(ISNUMBER(BE99))),"",IF(BE99&lt;18,"Ja","Nein"))</f>
        <v/>
      </c>
      <c r="BG99" s="48" t="str">
        <f aca="false">IF(A99="","",IF((IF(OR(B99="",C99="",F99="",N99="",Q99="",AB99="",AC99="",AD99="",AU99=""),"Pflichtfelder fehlen; ","")&amp;IF(AND(ISNUMBER(AC99),AC99&gt;P_MaxWoche),"Wochenstunden &gt; Prüfgrenze; ","")&amp;IF(AND(BF99="Ja",ISNUMBER(AC99),AC99&gt;P_MaxWocheJugend),"Jugendlicher &gt; 40 h/Woche; ","")&amp;IF(AND(ISNUMBER(BD99),BD99&lt;P_Mindestlohn,Q99&lt;&gt;"Auszubildende/r",Q99&lt;&gt;"Praktikant/in"),"Mindestlohn unterschritten?; ","")&amp;IF(AND(Q99="Minijob (geringfügig)",ISNUMBER(BB99),BB99&gt;P_Minijob),"Minijob-Grenze überschritten; ","")&amp;IF(AND(R99="Ja",S99=""),"Befristung ohne Enddatum; ","")&amp;IF(AND(ISNUMBER(O99),ISNUMBER(N99),O99&lt;N99),"Austritt vor Eintritt; ","")&amp;IF(AND(ISNUMBER(AU99),ISNUMBER(AV99),AU99&lt;AV99),"Urlaub unter gesetzl. Minimum; ","")&amp;IF(AND(ISNUMBER(AC99),ISNUMBER(AF99),ABS(N(AC99)-N(AF99))&gt;0.01),"Wochenstd. weichen vom Modell ab; ","")&amp;IF(AND(AI99="Ja",OR(AJ99="",AK99="")),"Kontogrenzen fehlen; ","")&amp;IF(AND(AL99="Mit Gehalt abgegolten (Pauschale)",AM99=""),"Überstunden-Pauschale fehlt; ",""))="","OK",IF(OR(B99="",C99="",F99="",N99="",Q99="",AB99="",AC99="",AD99="",AU99=""),"Pflichtfelder fehlen; ","")&amp;IF(AND(ISNUMBER(AC99),AC99&gt;P_MaxWoche),"Wochenstunden &gt; Prüfgrenze; ","")&amp;IF(AND(BF99="Ja",ISNUMBER(AC99),AC99&gt;P_MaxWocheJugend),"Jugendlicher &gt; 40 h/Woche; ","")&amp;IF(AND(ISNUMBER(BD99),BD99&lt;P_Mindestlohn,Q99&lt;&gt;"Auszubildende/r",Q99&lt;&gt;"Praktikant/in"),"Mindestlohn unterschritten?; ","")&amp;IF(AND(Q99="Minijob (geringfügig)",ISNUMBER(BB99),BB99&gt;P_Minijob),"Minijob-Grenze überschritten; ","")&amp;IF(AND(R99="Ja",S99=""),"Befristung ohne Enddatum; ","")&amp;IF(AND(ISNUMBER(O99),ISNUMBER(N99),O99&lt;N99),"Austritt vor Eintritt; ","")&amp;IF(AND(ISNUMBER(AU99),ISNUMBER(AV99),AU99&lt;AV99),"Urlaub unter gesetzl. Minimum; ","")&amp;IF(AND(ISNUMBER(AC99),ISNUMBER(AF99),ABS(N(AC99)-N(AF99))&gt;0.01),"Wochenstd. weichen vom Modell ab; ","")&amp;IF(AND(AI99="Ja",OR(AJ99="",AK99="")),"Kontogrenzen fehlen; ","")&amp;IF(AND(AL99="Mit Gehalt abgegolten (Pauschale)",AM99=""),"Überstunden-Pauschale fehlt; ","")))</f>
        <v/>
      </c>
      <c r="BH99" s="38"/>
    </row>
    <row r="100" customFormat="false" ht="15" hidden="false" customHeight="false" outlineLevel="0" collapsed="false">
      <c r="A100" s="37"/>
      <c r="B100" s="38"/>
      <c r="C100" s="38"/>
      <c r="D100" s="38"/>
      <c r="E100" s="38"/>
      <c r="F100" s="39"/>
      <c r="G100" s="38"/>
      <c r="H100" s="38"/>
      <c r="I100" s="37"/>
      <c r="J100" s="38"/>
      <c r="K100" s="38"/>
      <c r="L100" s="38"/>
      <c r="M100" s="38"/>
      <c r="N100" s="39"/>
      <c r="O100" s="39"/>
      <c r="P100" s="38"/>
      <c r="Q100" s="38"/>
      <c r="R100" s="38"/>
      <c r="S100" s="39"/>
      <c r="T100" s="39"/>
      <c r="U100" s="38"/>
      <c r="V100" s="38"/>
      <c r="W100" s="37"/>
      <c r="X100" s="38"/>
      <c r="Y100" s="38"/>
      <c r="Z100" s="37"/>
      <c r="AA100" s="38"/>
      <c r="AB100" s="38"/>
      <c r="AC100" s="40"/>
      <c r="AD100" s="41"/>
      <c r="AE100" s="42" t="str">
        <f aca="false">IF(OR(A100="",NOT(ISNUMBER(AC100)),NOT(ISNUMBER(AD100))),"",IF(AD100&gt;0,AC100/AD100,""))</f>
        <v/>
      </c>
      <c r="AF100" s="42" t="str">
        <f aca="false">IF(OR(A100="",AB100=""),"",IFERROR(INDEX(Arbeitszeitmodelle!$C$5:$C$34,MATCH(AB100,Arbeitszeitmodelle!$A$5:$A$34,0)),""))</f>
        <v/>
      </c>
      <c r="AG100" s="38"/>
      <c r="AH100" s="38"/>
      <c r="AI100" s="38"/>
      <c r="AJ100" s="41"/>
      <c r="AK100" s="41"/>
      <c r="AL100" s="38"/>
      <c r="AM100" s="41"/>
      <c r="AN100" s="38"/>
      <c r="AO100" s="38"/>
      <c r="AP100" s="38"/>
      <c r="AQ100" s="38"/>
      <c r="AR100" s="41"/>
      <c r="AS100" s="40"/>
      <c r="AT100" s="39"/>
      <c r="AU100" s="41"/>
      <c r="AV100" s="43" t="str">
        <f aca="false">IF(OR(A100="",NOT(ISNUMBER(AD100))),"",P_MinUrlaubWerktage/6*AD100)</f>
        <v/>
      </c>
      <c r="AW100" s="43" t="str">
        <f aca="false">IF(A100="","",IF(M100="Ja",P_ZusatzSB*IF(ISNUMBER(AD100),AD100,5)/5,0))</f>
        <v/>
      </c>
      <c r="AX100" s="41"/>
      <c r="AY100" s="39"/>
      <c r="AZ100" s="43" t="str">
        <f aca="false">IF(OR(A100="",NOT(ISNUMBER(AU100))),"",SUM(AU100,AW100,AX100))</f>
        <v/>
      </c>
      <c r="BA100" s="38"/>
      <c r="BB100" s="44"/>
      <c r="BC100" s="44"/>
      <c r="BD100" s="45" t="str">
        <f aca="false">IF(A100="","",IF(BA100="Stundenlohn",IF(ISNUMBER(BC100),BC100,""),IF(AND(ISNUMBER(BB100),ISNUMBER(AC100)),IF(AC100&gt;0,BB100*12/(AC100*52),""),"")))</f>
        <v/>
      </c>
      <c r="BE100" s="46" t="str">
        <f aca="false">IF(OR(A100="",NOT(ISNUMBER(F100))),"",IFERROR(DATEDIF(F100,P_Stichtag,"Y"),""))</f>
        <v/>
      </c>
      <c r="BF100" s="47" t="str">
        <f aca="false">IF(OR(A100="",NOT(ISNUMBER(BE100))),"",IF(BE100&lt;18,"Ja","Nein"))</f>
        <v/>
      </c>
      <c r="BG100" s="48" t="str">
        <f aca="false">IF(A100="","",IF((IF(OR(B100="",C100="",F100="",N100="",Q100="",AB100="",AC100="",AD100="",AU100=""),"Pflichtfelder fehlen; ","")&amp;IF(AND(ISNUMBER(AC100),AC100&gt;P_MaxWoche),"Wochenstunden &gt; Prüfgrenze; ","")&amp;IF(AND(BF100="Ja",ISNUMBER(AC100),AC100&gt;P_MaxWocheJugend),"Jugendlicher &gt; 40 h/Woche; ","")&amp;IF(AND(ISNUMBER(BD100),BD100&lt;P_Mindestlohn,Q100&lt;&gt;"Auszubildende/r",Q100&lt;&gt;"Praktikant/in"),"Mindestlohn unterschritten?; ","")&amp;IF(AND(Q100="Minijob (geringfügig)",ISNUMBER(BB100),BB100&gt;P_Minijob),"Minijob-Grenze überschritten; ","")&amp;IF(AND(R100="Ja",S100=""),"Befristung ohne Enddatum; ","")&amp;IF(AND(ISNUMBER(O100),ISNUMBER(N100),O100&lt;N100),"Austritt vor Eintritt; ","")&amp;IF(AND(ISNUMBER(AU100),ISNUMBER(AV100),AU100&lt;AV100),"Urlaub unter gesetzl. Minimum; ","")&amp;IF(AND(ISNUMBER(AC100),ISNUMBER(AF100),ABS(N(AC100)-N(AF100))&gt;0.01),"Wochenstd. weichen vom Modell ab; ","")&amp;IF(AND(AI100="Ja",OR(AJ100="",AK100="")),"Kontogrenzen fehlen; ","")&amp;IF(AND(AL100="Mit Gehalt abgegolten (Pauschale)",AM100=""),"Überstunden-Pauschale fehlt; ",""))="","OK",IF(OR(B100="",C100="",F100="",N100="",Q100="",AB100="",AC100="",AD100="",AU100=""),"Pflichtfelder fehlen; ","")&amp;IF(AND(ISNUMBER(AC100),AC100&gt;P_MaxWoche),"Wochenstunden &gt; Prüfgrenze; ","")&amp;IF(AND(BF100="Ja",ISNUMBER(AC100),AC100&gt;P_MaxWocheJugend),"Jugendlicher &gt; 40 h/Woche; ","")&amp;IF(AND(ISNUMBER(BD100),BD100&lt;P_Mindestlohn,Q100&lt;&gt;"Auszubildende/r",Q100&lt;&gt;"Praktikant/in"),"Mindestlohn unterschritten?; ","")&amp;IF(AND(Q100="Minijob (geringfügig)",ISNUMBER(BB100),BB100&gt;P_Minijob),"Minijob-Grenze überschritten; ","")&amp;IF(AND(R100="Ja",S100=""),"Befristung ohne Enddatum; ","")&amp;IF(AND(ISNUMBER(O100),ISNUMBER(N100),O100&lt;N100),"Austritt vor Eintritt; ","")&amp;IF(AND(ISNUMBER(AU100),ISNUMBER(AV100),AU100&lt;AV100),"Urlaub unter gesetzl. Minimum; ","")&amp;IF(AND(ISNUMBER(AC100),ISNUMBER(AF100),ABS(N(AC100)-N(AF100))&gt;0.01),"Wochenstd. weichen vom Modell ab; ","")&amp;IF(AND(AI100="Ja",OR(AJ100="",AK100="")),"Kontogrenzen fehlen; ","")&amp;IF(AND(AL100="Mit Gehalt abgegolten (Pauschale)",AM100=""),"Überstunden-Pauschale fehlt; ","")))</f>
        <v/>
      </c>
      <c r="BH100" s="38"/>
    </row>
    <row r="101" customFormat="false" ht="15" hidden="false" customHeight="false" outlineLevel="0" collapsed="false">
      <c r="A101" s="37"/>
      <c r="B101" s="38"/>
      <c r="C101" s="38"/>
      <c r="D101" s="38"/>
      <c r="E101" s="38"/>
      <c r="F101" s="39"/>
      <c r="G101" s="38"/>
      <c r="H101" s="38"/>
      <c r="I101" s="37"/>
      <c r="J101" s="38"/>
      <c r="K101" s="38"/>
      <c r="L101" s="38"/>
      <c r="M101" s="38"/>
      <c r="N101" s="39"/>
      <c r="O101" s="39"/>
      <c r="P101" s="38"/>
      <c r="Q101" s="38"/>
      <c r="R101" s="38"/>
      <c r="S101" s="39"/>
      <c r="T101" s="39"/>
      <c r="U101" s="38"/>
      <c r="V101" s="38"/>
      <c r="W101" s="37"/>
      <c r="X101" s="38"/>
      <c r="Y101" s="38"/>
      <c r="Z101" s="37"/>
      <c r="AA101" s="38"/>
      <c r="AB101" s="38"/>
      <c r="AC101" s="40"/>
      <c r="AD101" s="41"/>
      <c r="AE101" s="42" t="str">
        <f aca="false">IF(OR(A101="",NOT(ISNUMBER(AC101)),NOT(ISNUMBER(AD101))),"",IF(AD101&gt;0,AC101/AD101,""))</f>
        <v/>
      </c>
      <c r="AF101" s="42" t="str">
        <f aca="false">IF(OR(A101="",AB101=""),"",IFERROR(INDEX(Arbeitszeitmodelle!$C$5:$C$34,MATCH(AB101,Arbeitszeitmodelle!$A$5:$A$34,0)),""))</f>
        <v/>
      </c>
      <c r="AG101" s="38"/>
      <c r="AH101" s="38"/>
      <c r="AI101" s="38"/>
      <c r="AJ101" s="41"/>
      <c r="AK101" s="41"/>
      <c r="AL101" s="38"/>
      <c r="AM101" s="41"/>
      <c r="AN101" s="38"/>
      <c r="AO101" s="38"/>
      <c r="AP101" s="38"/>
      <c r="AQ101" s="38"/>
      <c r="AR101" s="41"/>
      <c r="AS101" s="40"/>
      <c r="AT101" s="39"/>
      <c r="AU101" s="41"/>
      <c r="AV101" s="43" t="str">
        <f aca="false">IF(OR(A101="",NOT(ISNUMBER(AD101))),"",P_MinUrlaubWerktage/6*AD101)</f>
        <v/>
      </c>
      <c r="AW101" s="43" t="str">
        <f aca="false">IF(A101="","",IF(M101="Ja",P_ZusatzSB*IF(ISNUMBER(AD101),AD101,5)/5,0))</f>
        <v/>
      </c>
      <c r="AX101" s="41"/>
      <c r="AY101" s="39"/>
      <c r="AZ101" s="43" t="str">
        <f aca="false">IF(OR(A101="",NOT(ISNUMBER(AU101))),"",SUM(AU101,AW101,AX101))</f>
        <v/>
      </c>
      <c r="BA101" s="38"/>
      <c r="BB101" s="44"/>
      <c r="BC101" s="44"/>
      <c r="BD101" s="45" t="str">
        <f aca="false">IF(A101="","",IF(BA101="Stundenlohn",IF(ISNUMBER(BC101),BC101,""),IF(AND(ISNUMBER(BB101),ISNUMBER(AC101)),IF(AC101&gt;0,BB101*12/(AC101*52),""),"")))</f>
        <v/>
      </c>
      <c r="BE101" s="46" t="str">
        <f aca="false">IF(OR(A101="",NOT(ISNUMBER(F101))),"",IFERROR(DATEDIF(F101,P_Stichtag,"Y"),""))</f>
        <v/>
      </c>
      <c r="BF101" s="47" t="str">
        <f aca="false">IF(OR(A101="",NOT(ISNUMBER(BE101))),"",IF(BE101&lt;18,"Ja","Nein"))</f>
        <v/>
      </c>
      <c r="BG101" s="48" t="str">
        <f aca="false">IF(A101="","",IF((IF(OR(B101="",C101="",F101="",N101="",Q101="",AB101="",AC101="",AD101="",AU101=""),"Pflichtfelder fehlen; ","")&amp;IF(AND(ISNUMBER(AC101),AC101&gt;P_MaxWoche),"Wochenstunden &gt; Prüfgrenze; ","")&amp;IF(AND(BF101="Ja",ISNUMBER(AC101),AC101&gt;P_MaxWocheJugend),"Jugendlicher &gt; 40 h/Woche; ","")&amp;IF(AND(ISNUMBER(BD101),BD101&lt;P_Mindestlohn,Q101&lt;&gt;"Auszubildende/r",Q101&lt;&gt;"Praktikant/in"),"Mindestlohn unterschritten?; ","")&amp;IF(AND(Q101="Minijob (geringfügig)",ISNUMBER(BB101),BB101&gt;P_Minijob),"Minijob-Grenze überschritten; ","")&amp;IF(AND(R101="Ja",S101=""),"Befristung ohne Enddatum; ","")&amp;IF(AND(ISNUMBER(O101),ISNUMBER(N101),O101&lt;N101),"Austritt vor Eintritt; ","")&amp;IF(AND(ISNUMBER(AU101),ISNUMBER(AV101),AU101&lt;AV101),"Urlaub unter gesetzl. Minimum; ","")&amp;IF(AND(ISNUMBER(AC101),ISNUMBER(AF101),ABS(N(AC101)-N(AF101))&gt;0.01),"Wochenstd. weichen vom Modell ab; ","")&amp;IF(AND(AI101="Ja",OR(AJ101="",AK101="")),"Kontogrenzen fehlen; ","")&amp;IF(AND(AL101="Mit Gehalt abgegolten (Pauschale)",AM101=""),"Überstunden-Pauschale fehlt; ",""))="","OK",IF(OR(B101="",C101="",F101="",N101="",Q101="",AB101="",AC101="",AD101="",AU101=""),"Pflichtfelder fehlen; ","")&amp;IF(AND(ISNUMBER(AC101),AC101&gt;P_MaxWoche),"Wochenstunden &gt; Prüfgrenze; ","")&amp;IF(AND(BF101="Ja",ISNUMBER(AC101),AC101&gt;P_MaxWocheJugend),"Jugendlicher &gt; 40 h/Woche; ","")&amp;IF(AND(ISNUMBER(BD101),BD101&lt;P_Mindestlohn,Q101&lt;&gt;"Auszubildende/r",Q101&lt;&gt;"Praktikant/in"),"Mindestlohn unterschritten?; ","")&amp;IF(AND(Q101="Minijob (geringfügig)",ISNUMBER(BB101),BB101&gt;P_Minijob),"Minijob-Grenze überschritten; ","")&amp;IF(AND(R101="Ja",S101=""),"Befristung ohne Enddatum; ","")&amp;IF(AND(ISNUMBER(O101),ISNUMBER(N101),O101&lt;N101),"Austritt vor Eintritt; ","")&amp;IF(AND(ISNUMBER(AU101),ISNUMBER(AV101),AU101&lt;AV101),"Urlaub unter gesetzl. Minimum; ","")&amp;IF(AND(ISNUMBER(AC101),ISNUMBER(AF101),ABS(N(AC101)-N(AF101))&gt;0.01),"Wochenstd. weichen vom Modell ab; ","")&amp;IF(AND(AI101="Ja",OR(AJ101="",AK101="")),"Kontogrenzen fehlen; ","")&amp;IF(AND(AL101="Mit Gehalt abgegolten (Pauschale)",AM101=""),"Überstunden-Pauschale fehlt; ","")))</f>
        <v/>
      </c>
      <c r="BH101" s="38"/>
    </row>
    <row r="102" customFormat="false" ht="15" hidden="false" customHeight="false" outlineLevel="0" collapsed="false">
      <c r="A102" s="37"/>
      <c r="B102" s="38"/>
      <c r="C102" s="38"/>
      <c r="D102" s="38"/>
      <c r="E102" s="38"/>
      <c r="F102" s="39"/>
      <c r="G102" s="38"/>
      <c r="H102" s="38"/>
      <c r="I102" s="37"/>
      <c r="J102" s="38"/>
      <c r="K102" s="38"/>
      <c r="L102" s="38"/>
      <c r="M102" s="38"/>
      <c r="N102" s="39"/>
      <c r="O102" s="39"/>
      <c r="P102" s="38"/>
      <c r="Q102" s="38"/>
      <c r="R102" s="38"/>
      <c r="S102" s="39"/>
      <c r="T102" s="39"/>
      <c r="U102" s="38"/>
      <c r="V102" s="38"/>
      <c r="W102" s="37"/>
      <c r="X102" s="38"/>
      <c r="Y102" s="38"/>
      <c r="Z102" s="37"/>
      <c r="AA102" s="38"/>
      <c r="AB102" s="38"/>
      <c r="AC102" s="40"/>
      <c r="AD102" s="41"/>
      <c r="AE102" s="42" t="str">
        <f aca="false">IF(OR(A102="",NOT(ISNUMBER(AC102)),NOT(ISNUMBER(AD102))),"",IF(AD102&gt;0,AC102/AD102,""))</f>
        <v/>
      </c>
      <c r="AF102" s="42" t="str">
        <f aca="false">IF(OR(A102="",AB102=""),"",IFERROR(INDEX(Arbeitszeitmodelle!$C$5:$C$34,MATCH(AB102,Arbeitszeitmodelle!$A$5:$A$34,0)),""))</f>
        <v/>
      </c>
      <c r="AG102" s="38"/>
      <c r="AH102" s="38"/>
      <c r="AI102" s="38"/>
      <c r="AJ102" s="41"/>
      <c r="AK102" s="41"/>
      <c r="AL102" s="38"/>
      <c r="AM102" s="41"/>
      <c r="AN102" s="38"/>
      <c r="AO102" s="38"/>
      <c r="AP102" s="38"/>
      <c r="AQ102" s="38"/>
      <c r="AR102" s="41"/>
      <c r="AS102" s="40"/>
      <c r="AT102" s="39"/>
      <c r="AU102" s="41"/>
      <c r="AV102" s="43" t="str">
        <f aca="false">IF(OR(A102="",NOT(ISNUMBER(AD102))),"",P_MinUrlaubWerktage/6*AD102)</f>
        <v/>
      </c>
      <c r="AW102" s="43" t="str">
        <f aca="false">IF(A102="","",IF(M102="Ja",P_ZusatzSB*IF(ISNUMBER(AD102),AD102,5)/5,0))</f>
        <v/>
      </c>
      <c r="AX102" s="41"/>
      <c r="AY102" s="39"/>
      <c r="AZ102" s="43" t="str">
        <f aca="false">IF(OR(A102="",NOT(ISNUMBER(AU102))),"",SUM(AU102,AW102,AX102))</f>
        <v/>
      </c>
      <c r="BA102" s="38"/>
      <c r="BB102" s="44"/>
      <c r="BC102" s="44"/>
      <c r="BD102" s="45" t="str">
        <f aca="false">IF(A102="","",IF(BA102="Stundenlohn",IF(ISNUMBER(BC102),BC102,""),IF(AND(ISNUMBER(BB102),ISNUMBER(AC102)),IF(AC102&gt;0,BB102*12/(AC102*52),""),"")))</f>
        <v/>
      </c>
      <c r="BE102" s="46" t="str">
        <f aca="false">IF(OR(A102="",NOT(ISNUMBER(F102))),"",IFERROR(DATEDIF(F102,P_Stichtag,"Y"),""))</f>
        <v/>
      </c>
      <c r="BF102" s="47" t="str">
        <f aca="false">IF(OR(A102="",NOT(ISNUMBER(BE102))),"",IF(BE102&lt;18,"Ja","Nein"))</f>
        <v/>
      </c>
      <c r="BG102" s="48" t="str">
        <f aca="false">IF(A102="","",IF((IF(OR(B102="",C102="",F102="",N102="",Q102="",AB102="",AC102="",AD102="",AU102=""),"Pflichtfelder fehlen; ","")&amp;IF(AND(ISNUMBER(AC102),AC102&gt;P_MaxWoche),"Wochenstunden &gt; Prüfgrenze; ","")&amp;IF(AND(BF102="Ja",ISNUMBER(AC102),AC102&gt;P_MaxWocheJugend),"Jugendlicher &gt; 40 h/Woche; ","")&amp;IF(AND(ISNUMBER(BD102),BD102&lt;P_Mindestlohn,Q102&lt;&gt;"Auszubildende/r",Q102&lt;&gt;"Praktikant/in"),"Mindestlohn unterschritten?; ","")&amp;IF(AND(Q102="Minijob (geringfügig)",ISNUMBER(BB102),BB102&gt;P_Minijob),"Minijob-Grenze überschritten; ","")&amp;IF(AND(R102="Ja",S102=""),"Befristung ohne Enddatum; ","")&amp;IF(AND(ISNUMBER(O102),ISNUMBER(N102),O102&lt;N102),"Austritt vor Eintritt; ","")&amp;IF(AND(ISNUMBER(AU102),ISNUMBER(AV102),AU102&lt;AV102),"Urlaub unter gesetzl. Minimum; ","")&amp;IF(AND(ISNUMBER(AC102),ISNUMBER(AF102),ABS(N(AC102)-N(AF102))&gt;0.01),"Wochenstd. weichen vom Modell ab; ","")&amp;IF(AND(AI102="Ja",OR(AJ102="",AK102="")),"Kontogrenzen fehlen; ","")&amp;IF(AND(AL102="Mit Gehalt abgegolten (Pauschale)",AM102=""),"Überstunden-Pauschale fehlt; ",""))="","OK",IF(OR(B102="",C102="",F102="",N102="",Q102="",AB102="",AC102="",AD102="",AU102=""),"Pflichtfelder fehlen; ","")&amp;IF(AND(ISNUMBER(AC102),AC102&gt;P_MaxWoche),"Wochenstunden &gt; Prüfgrenze; ","")&amp;IF(AND(BF102="Ja",ISNUMBER(AC102),AC102&gt;P_MaxWocheJugend),"Jugendlicher &gt; 40 h/Woche; ","")&amp;IF(AND(ISNUMBER(BD102),BD102&lt;P_Mindestlohn,Q102&lt;&gt;"Auszubildende/r",Q102&lt;&gt;"Praktikant/in"),"Mindestlohn unterschritten?; ","")&amp;IF(AND(Q102="Minijob (geringfügig)",ISNUMBER(BB102),BB102&gt;P_Minijob),"Minijob-Grenze überschritten; ","")&amp;IF(AND(R102="Ja",S102=""),"Befristung ohne Enddatum; ","")&amp;IF(AND(ISNUMBER(O102),ISNUMBER(N102),O102&lt;N102),"Austritt vor Eintritt; ","")&amp;IF(AND(ISNUMBER(AU102),ISNUMBER(AV102),AU102&lt;AV102),"Urlaub unter gesetzl. Minimum; ","")&amp;IF(AND(ISNUMBER(AC102),ISNUMBER(AF102),ABS(N(AC102)-N(AF102))&gt;0.01),"Wochenstd. weichen vom Modell ab; ","")&amp;IF(AND(AI102="Ja",OR(AJ102="",AK102="")),"Kontogrenzen fehlen; ","")&amp;IF(AND(AL102="Mit Gehalt abgegolten (Pauschale)",AM102=""),"Überstunden-Pauschale fehlt; ","")))</f>
        <v/>
      </c>
      <c r="BH102" s="38"/>
    </row>
    <row r="103" customFormat="false" ht="15" hidden="false" customHeight="false" outlineLevel="0" collapsed="false">
      <c r="A103" s="37"/>
      <c r="B103" s="38"/>
      <c r="C103" s="38"/>
      <c r="D103" s="38"/>
      <c r="E103" s="38"/>
      <c r="F103" s="39"/>
      <c r="G103" s="38"/>
      <c r="H103" s="38"/>
      <c r="I103" s="37"/>
      <c r="J103" s="38"/>
      <c r="K103" s="38"/>
      <c r="L103" s="38"/>
      <c r="M103" s="38"/>
      <c r="N103" s="39"/>
      <c r="O103" s="39"/>
      <c r="P103" s="38"/>
      <c r="Q103" s="38"/>
      <c r="R103" s="38"/>
      <c r="S103" s="39"/>
      <c r="T103" s="39"/>
      <c r="U103" s="38"/>
      <c r="V103" s="38"/>
      <c r="W103" s="37"/>
      <c r="X103" s="38"/>
      <c r="Y103" s="38"/>
      <c r="Z103" s="37"/>
      <c r="AA103" s="38"/>
      <c r="AB103" s="38"/>
      <c r="AC103" s="40"/>
      <c r="AD103" s="41"/>
      <c r="AE103" s="42" t="str">
        <f aca="false">IF(OR(A103="",NOT(ISNUMBER(AC103)),NOT(ISNUMBER(AD103))),"",IF(AD103&gt;0,AC103/AD103,""))</f>
        <v/>
      </c>
      <c r="AF103" s="42" t="str">
        <f aca="false">IF(OR(A103="",AB103=""),"",IFERROR(INDEX(Arbeitszeitmodelle!$C$5:$C$34,MATCH(AB103,Arbeitszeitmodelle!$A$5:$A$34,0)),""))</f>
        <v/>
      </c>
      <c r="AG103" s="38"/>
      <c r="AH103" s="38"/>
      <c r="AI103" s="38"/>
      <c r="AJ103" s="41"/>
      <c r="AK103" s="41"/>
      <c r="AL103" s="38"/>
      <c r="AM103" s="41"/>
      <c r="AN103" s="38"/>
      <c r="AO103" s="38"/>
      <c r="AP103" s="38"/>
      <c r="AQ103" s="38"/>
      <c r="AR103" s="41"/>
      <c r="AS103" s="40"/>
      <c r="AT103" s="39"/>
      <c r="AU103" s="41"/>
      <c r="AV103" s="43" t="str">
        <f aca="false">IF(OR(A103="",NOT(ISNUMBER(AD103))),"",P_MinUrlaubWerktage/6*AD103)</f>
        <v/>
      </c>
      <c r="AW103" s="43" t="str">
        <f aca="false">IF(A103="","",IF(M103="Ja",P_ZusatzSB*IF(ISNUMBER(AD103),AD103,5)/5,0))</f>
        <v/>
      </c>
      <c r="AX103" s="41"/>
      <c r="AY103" s="39"/>
      <c r="AZ103" s="43" t="str">
        <f aca="false">IF(OR(A103="",NOT(ISNUMBER(AU103))),"",SUM(AU103,AW103,AX103))</f>
        <v/>
      </c>
      <c r="BA103" s="38"/>
      <c r="BB103" s="44"/>
      <c r="BC103" s="44"/>
      <c r="BD103" s="45" t="str">
        <f aca="false">IF(A103="","",IF(BA103="Stundenlohn",IF(ISNUMBER(BC103),BC103,""),IF(AND(ISNUMBER(BB103),ISNUMBER(AC103)),IF(AC103&gt;0,BB103*12/(AC103*52),""),"")))</f>
        <v/>
      </c>
      <c r="BE103" s="46" t="str">
        <f aca="false">IF(OR(A103="",NOT(ISNUMBER(F103))),"",IFERROR(DATEDIF(F103,P_Stichtag,"Y"),""))</f>
        <v/>
      </c>
      <c r="BF103" s="47" t="str">
        <f aca="false">IF(OR(A103="",NOT(ISNUMBER(BE103))),"",IF(BE103&lt;18,"Ja","Nein"))</f>
        <v/>
      </c>
      <c r="BG103" s="48" t="str">
        <f aca="false">IF(A103="","",IF((IF(OR(B103="",C103="",F103="",N103="",Q103="",AB103="",AC103="",AD103="",AU103=""),"Pflichtfelder fehlen; ","")&amp;IF(AND(ISNUMBER(AC103),AC103&gt;P_MaxWoche),"Wochenstunden &gt; Prüfgrenze; ","")&amp;IF(AND(BF103="Ja",ISNUMBER(AC103),AC103&gt;P_MaxWocheJugend),"Jugendlicher &gt; 40 h/Woche; ","")&amp;IF(AND(ISNUMBER(BD103),BD103&lt;P_Mindestlohn,Q103&lt;&gt;"Auszubildende/r",Q103&lt;&gt;"Praktikant/in"),"Mindestlohn unterschritten?; ","")&amp;IF(AND(Q103="Minijob (geringfügig)",ISNUMBER(BB103),BB103&gt;P_Minijob),"Minijob-Grenze überschritten; ","")&amp;IF(AND(R103="Ja",S103=""),"Befristung ohne Enddatum; ","")&amp;IF(AND(ISNUMBER(O103),ISNUMBER(N103),O103&lt;N103),"Austritt vor Eintritt; ","")&amp;IF(AND(ISNUMBER(AU103),ISNUMBER(AV103),AU103&lt;AV103),"Urlaub unter gesetzl. Minimum; ","")&amp;IF(AND(ISNUMBER(AC103),ISNUMBER(AF103),ABS(N(AC103)-N(AF103))&gt;0.01),"Wochenstd. weichen vom Modell ab; ","")&amp;IF(AND(AI103="Ja",OR(AJ103="",AK103="")),"Kontogrenzen fehlen; ","")&amp;IF(AND(AL103="Mit Gehalt abgegolten (Pauschale)",AM103=""),"Überstunden-Pauschale fehlt; ",""))="","OK",IF(OR(B103="",C103="",F103="",N103="",Q103="",AB103="",AC103="",AD103="",AU103=""),"Pflichtfelder fehlen; ","")&amp;IF(AND(ISNUMBER(AC103),AC103&gt;P_MaxWoche),"Wochenstunden &gt; Prüfgrenze; ","")&amp;IF(AND(BF103="Ja",ISNUMBER(AC103),AC103&gt;P_MaxWocheJugend),"Jugendlicher &gt; 40 h/Woche; ","")&amp;IF(AND(ISNUMBER(BD103),BD103&lt;P_Mindestlohn,Q103&lt;&gt;"Auszubildende/r",Q103&lt;&gt;"Praktikant/in"),"Mindestlohn unterschritten?; ","")&amp;IF(AND(Q103="Minijob (geringfügig)",ISNUMBER(BB103),BB103&gt;P_Minijob),"Minijob-Grenze überschritten; ","")&amp;IF(AND(R103="Ja",S103=""),"Befristung ohne Enddatum; ","")&amp;IF(AND(ISNUMBER(O103),ISNUMBER(N103),O103&lt;N103),"Austritt vor Eintritt; ","")&amp;IF(AND(ISNUMBER(AU103),ISNUMBER(AV103),AU103&lt;AV103),"Urlaub unter gesetzl. Minimum; ","")&amp;IF(AND(ISNUMBER(AC103),ISNUMBER(AF103),ABS(N(AC103)-N(AF103))&gt;0.01),"Wochenstd. weichen vom Modell ab; ","")&amp;IF(AND(AI103="Ja",OR(AJ103="",AK103="")),"Kontogrenzen fehlen; ","")&amp;IF(AND(AL103="Mit Gehalt abgegolten (Pauschale)",AM103=""),"Überstunden-Pauschale fehlt; ","")))</f>
        <v/>
      </c>
      <c r="BH103" s="38"/>
    </row>
    <row r="104" customFormat="false" ht="15" hidden="false" customHeight="false" outlineLevel="0" collapsed="false">
      <c r="A104" s="37"/>
      <c r="B104" s="38"/>
      <c r="C104" s="38"/>
      <c r="D104" s="38"/>
      <c r="E104" s="38"/>
      <c r="F104" s="39"/>
      <c r="G104" s="38"/>
      <c r="H104" s="38"/>
      <c r="I104" s="37"/>
      <c r="J104" s="38"/>
      <c r="K104" s="38"/>
      <c r="L104" s="38"/>
      <c r="M104" s="38"/>
      <c r="N104" s="39"/>
      <c r="O104" s="39"/>
      <c r="P104" s="38"/>
      <c r="Q104" s="38"/>
      <c r="R104" s="38"/>
      <c r="S104" s="39"/>
      <c r="T104" s="39"/>
      <c r="U104" s="38"/>
      <c r="V104" s="38"/>
      <c r="W104" s="37"/>
      <c r="X104" s="38"/>
      <c r="Y104" s="38"/>
      <c r="Z104" s="37"/>
      <c r="AA104" s="38"/>
      <c r="AB104" s="38"/>
      <c r="AC104" s="40"/>
      <c r="AD104" s="41"/>
      <c r="AE104" s="42" t="str">
        <f aca="false">IF(OR(A104="",NOT(ISNUMBER(AC104)),NOT(ISNUMBER(AD104))),"",IF(AD104&gt;0,AC104/AD104,""))</f>
        <v/>
      </c>
      <c r="AF104" s="42" t="str">
        <f aca="false">IF(OR(A104="",AB104=""),"",IFERROR(INDEX(Arbeitszeitmodelle!$C$5:$C$34,MATCH(AB104,Arbeitszeitmodelle!$A$5:$A$34,0)),""))</f>
        <v/>
      </c>
      <c r="AG104" s="38"/>
      <c r="AH104" s="38"/>
      <c r="AI104" s="38"/>
      <c r="AJ104" s="41"/>
      <c r="AK104" s="41"/>
      <c r="AL104" s="38"/>
      <c r="AM104" s="41"/>
      <c r="AN104" s="38"/>
      <c r="AO104" s="38"/>
      <c r="AP104" s="38"/>
      <c r="AQ104" s="38"/>
      <c r="AR104" s="41"/>
      <c r="AS104" s="40"/>
      <c r="AT104" s="39"/>
      <c r="AU104" s="41"/>
      <c r="AV104" s="43" t="str">
        <f aca="false">IF(OR(A104="",NOT(ISNUMBER(AD104))),"",P_MinUrlaubWerktage/6*AD104)</f>
        <v/>
      </c>
      <c r="AW104" s="43" t="str">
        <f aca="false">IF(A104="","",IF(M104="Ja",P_ZusatzSB*IF(ISNUMBER(AD104),AD104,5)/5,0))</f>
        <v/>
      </c>
      <c r="AX104" s="41"/>
      <c r="AY104" s="39"/>
      <c r="AZ104" s="43" t="str">
        <f aca="false">IF(OR(A104="",NOT(ISNUMBER(AU104))),"",SUM(AU104,AW104,AX104))</f>
        <v/>
      </c>
      <c r="BA104" s="38"/>
      <c r="BB104" s="44"/>
      <c r="BC104" s="44"/>
      <c r="BD104" s="45" t="str">
        <f aca="false">IF(A104="","",IF(BA104="Stundenlohn",IF(ISNUMBER(BC104),BC104,""),IF(AND(ISNUMBER(BB104),ISNUMBER(AC104)),IF(AC104&gt;0,BB104*12/(AC104*52),""),"")))</f>
        <v/>
      </c>
      <c r="BE104" s="46" t="str">
        <f aca="false">IF(OR(A104="",NOT(ISNUMBER(F104))),"",IFERROR(DATEDIF(F104,P_Stichtag,"Y"),""))</f>
        <v/>
      </c>
      <c r="BF104" s="47" t="str">
        <f aca="false">IF(OR(A104="",NOT(ISNUMBER(BE104))),"",IF(BE104&lt;18,"Ja","Nein"))</f>
        <v/>
      </c>
      <c r="BG104" s="48" t="str">
        <f aca="false">IF(A104="","",IF((IF(OR(B104="",C104="",F104="",N104="",Q104="",AB104="",AC104="",AD104="",AU104=""),"Pflichtfelder fehlen; ","")&amp;IF(AND(ISNUMBER(AC104),AC104&gt;P_MaxWoche),"Wochenstunden &gt; Prüfgrenze; ","")&amp;IF(AND(BF104="Ja",ISNUMBER(AC104),AC104&gt;P_MaxWocheJugend),"Jugendlicher &gt; 40 h/Woche; ","")&amp;IF(AND(ISNUMBER(BD104),BD104&lt;P_Mindestlohn,Q104&lt;&gt;"Auszubildende/r",Q104&lt;&gt;"Praktikant/in"),"Mindestlohn unterschritten?; ","")&amp;IF(AND(Q104="Minijob (geringfügig)",ISNUMBER(BB104),BB104&gt;P_Minijob),"Minijob-Grenze überschritten; ","")&amp;IF(AND(R104="Ja",S104=""),"Befristung ohne Enddatum; ","")&amp;IF(AND(ISNUMBER(O104),ISNUMBER(N104),O104&lt;N104),"Austritt vor Eintritt; ","")&amp;IF(AND(ISNUMBER(AU104),ISNUMBER(AV104),AU104&lt;AV104),"Urlaub unter gesetzl. Minimum; ","")&amp;IF(AND(ISNUMBER(AC104),ISNUMBER(AF104),ABS(N(AC104)-N(AF104))&gt;0.01),"Wochenstd. weichen vom Modell ab; ","")&amp;IF(AND(AI104="Ja",OR(AJ104="",AK104="")),"Kontogrenzen fehlen; ","")&amp;IF(AND(AL104="Mit Gehalt abgegolten (Pauschale)",AM104=""),"Überstunden-Pauschale fehlt; ",""))="","OK",IF(OR(B104="",C104="",F104="",N104="",Q104="",AB104="",AC104="",AD104="",AU104=""),"Pflichtfelder fehlen; ","")&amp;IF(AND(ISNUMBER(AC104),AC104&gt;P_MaxWoche),"Wochenstunden &gt; Prüfgrenze; ","")&amp;IF(AND(BF104="Ja",ISNUMBER(AC104),AC104&gt;P_MaxWocheJugend),"Jugendlicher &gt; 40 h/Woche; ","")&amp;IF(AND(ISNUMBER(BD104),BD104&lt;P_Mindestlohn,Q104&lt;&gt;"Auszubildende/r",Q104&lt;&gt;"Praktikant/in"),"Mindestlohn unterschritten?; ","")&amp;IF(AND(Q104="Minijob (geringfügig)",ISNUMBER(BB104),BB104&gt;P_Minijob),"Minijob-Grenze überschritten; ","")&amp;IF(AND(R104="Ja",S104=""),"Befristung ohne Enddatum; ","")&amp;IF(AND(ISNUMBER(O104),ISNUMBER(N104),O104&lt;N104),"Austritt vor Eintritt; ","")&amp;IF(AND(ISNUMBER(AU104),ISNUMBER(AV104),AU104&lt;AV104),"Urlaub unter gesetzl. Minimum; ","")&amp;IF(AND(ISNUMBER(AC104),ISNUMBER(AF104),ABS(N(AC104)-N(AF104))&gt;0.01),"Wochenstd. weichen vom Modell ab; ","")&amp;IF(AND(AI104="Ja",OR(AJ104="",AK104="")),"Kontogrenzen fehlen; ","")&amp;IF(AND(AL104="Mit Gehalt abgegolten (Pauschale)",AM104=""),"Überstunden-Pauschale fehlt; ","")))</f>
        <v/>
      </c>
      <c r="BH104" s="38"/>
    </row>
    <row r="105" customFormat="false" ht="15" hidden="false" customHeight="false" outlineLevel="0" collapsed="false">
      <c r="A105" s="37"/>
      <c r="B105" s="38"/>
      <c r="C105" s="38"/>
      <c r="D105" s="38"/>
      <c r="E105" s="38"/>
      <c r="F105" s="39"/>
      <c r="G105" s="38"/>
      <c r="H105" s="38"/>
      <c r="I105" s="37"/>
      <c r="J105" s="38"/>
      <c r="K105" s="38"/>
      <c r="L105" s="38"/>
      <c r="M105" s="38"/>
      <c r="N105" s="39"/>
      <c r="O105" s="39"/>
      <c r="P105" s="38"/>
      <c r="Q105" s="38"/>
      <c r="R105" s="38"/>
      <c r="S105" s="39"/>
      <c r="T105" s="39"/>
      <c r="U105" s="38"/>
      <c r="V105" s="38"/>
      <c r="W105" s="37"/>
      <c r="X105" s="38"/>
      <c r="Y105" s="38"/>
      <c r="Z105" s="37"/>
      <c r="AA105" s="38"/>
      <c r="AB105" s="38"/>
      <c r="AC105" s="40"/>
      <c r="AD105" s="41"/>
      <c r="AE105" s="42" t="str">
        <f aca="false">IF(OR(A105="",NOT(ISNUMBER(AC105)),NOT(ISNUMBER(AD105))),"",IF(AD105&gt;0,AC105/AD105,""))</f>
        <v/>
      </c>
      <c r="AF105" s="42" t="str">
        <f aca="false">IF(OR(A105="",AB105=""),"",IFERROR(INDEX(Arbeitszeitmodelle!$C$5:$C$34,MATCH(AB105,Arbeitszeitmodelle!$A$5:$A$34,0)),""))</f>
        <v/>
      </c>
      <c r="AG105" s="38"/>
      <c r="AH105" s="38"/>
      <c r="AI105" s="38"/>
      <c r="AJ105" s="41"/>
      <c r="AK105" s="41"/>
      <c r="AL105" s="38"/>
      <c r="AM105" s="41"/>
      <c r="AN105" s="38"/>
      <c r="AO105" s="38"/>
      <c r="AP105" s="38"/>
      <c r="AQ105" s="38"/>
      <c r="AR105" s="41"/>
      <c r="AS105" s="40"/>
      <c r="AT105" s="39"/>
      <c r="AU105" s="41"/>
      <c r="AV105" s="43" t="str">
        <f aca="false">IF(OR(A105="",NOT(ISNUMBER(AD105))),"",P_MinUrlaubWerktage/6*AD105)</f>
        <v/>
      </c>
      <c r="AW105" s="43" t="str">
        <f aca="false">IF(A105="","",IF(M105="Ja",P_ZusatzSB*IF(ISNUMBER(AD105),AD105,5)/5,0))</f>
        <v/>
      </c>
      <c r="AX105" s="41"/>
      <c r="AY105" s="39"/>
      <c r="AZ105" s="43" t="str">
        <f aca="false">IF(OR(A105="",NOT(ISNUMBER(AU105))),"",SUM(AU105,AW105,AX105))</f>
        <v/>
      </c>
      <c r="BA105" s="38"/>
      <c r="BB105" s="44"/>
      <c r="BC105" s="44"/>
      <c r="BD105" s="45" t="str">
        <f aca="false">IF(A105="","",IF(BA105="Stundenlohn",IF(ISNUMBER(BC105),BC105,""),IF(AND(ISNUMBER(BB105),ISNUMBER(AC105)),IF(AC105&gt;0,BB105*12/(AC105*52),""),"")))</f>
        <v/>
      </c>
      <c r="BE105" s="46" t="str">
        <f aca="false">IF(OR(A105="",NOT(ISNUMBER(F105))),"",IFERROR(DATEDIF(F105,P_Stichtag,"Y"),""))</f>
        <v/>
      </c>
      <c r="BF105" s="47" t="str">
        <f aca="false">IF(OR(A105="",NOT(ISNUMBER(BE105))),"",IF(BE105&lt;18,"Ja","Nein"))</f>
        <v/>
      </c>
      <c r="BG105" s="48" t="str">
        <f aca="false">IF(A105="","",IF((IF(OR(B105="",C105="",F105="",N105="",Q105="",AB105="",AC105="",AD105="",AU105=""),"Pflichtfelder fehlen; ","")&amp;IF(AND(ISNUMBER(AC105),AC105&gt;P_MaxWoche),"Wochenstunden &gt; Prüfgrenze; ","")&amp;IF(AND(BF105="Ja",ISNUMBER(AC105),AC105&gt;P_MaxWocheJugend),"Jugendlicher &gt; 40 h/Woche; ","")&amp;IF(AND(ISNUMBER(BD105),BD105&lt;P_Mindestlohn,Q105&lt;&gt;"Auszubildende/r",Q105&lt;&gt;"Praktikant/in"),"Mindestlohn unterschritten?; ","")&amp;IF(AND(Q105="Minijob (geringfügig)",ISNUMBER(BB105),BB105&gt;P_Minijob),"Minijob-Grenze überschritten; ","")&amp;IF(AND(R105="Ja",S105=""),"Befristung ohne Enddatum; ","")&amp;IF(AND(ISNUMBER(O105),ISNUMBER(N105),O105&lt;N105),"Austritt vor Eintritt; ","")&amp;IF(AND(ISNUMBER(AU105),ISNUMBER(AV105),AU105&lt;AV105),"Urlaub unter gesetzl. Minimum; ","")&amp;IF(AND(ISNUMBER(AC105),ISNUMBER(AF105),ABS(N(AC105)-N(AF105))&gt;0.01),"Wochenstd. weichen vom Modell ab; ","")&amp;IF(AND(AI105="Ja",OR(AJ105="",AK105="")),"Kontogrenzen fehlen; ","")&amp;IF(AND(AL105="Mit Gehalt abgegolten (Pauschale)",AM105=""),"Überstunden-Pauschale fehlt; ",""))="","OK",IF(OR(B105="",C105="",F105="",N105="",Q105="",AB105="",AC105="",AD105="",AU105=""),"Pflichtfelder fehlen; ","")&amp;IF(AND(ISNUMBER(AC105),AC105&gt;P_MaxWoche),"Wochenstunden &gt; Prüfgrenze; ","")&amp;IF(AND(BF105="Ja",ISNUMBER(AC105),AC105&gt;P_MaxWocheJugend),"Jugendlicher &gt; 40 h/Woche; ","")&amp;IF(AND(ISNUMBER(BD105),BD105&lt;P_Mindestlohn,Q105&lt;&gt;"Auszubildende/r",Q105&lt;&gt;"Praktikant/in"),"Mindestlohn unterschritten?; ","")&amp;IF(AND(Q105="Minijob (geringfügig)",ISNUMBER(BB105),BB105&gt;P_Minijob),"Minijob-Grenze überschritten; ","")&amp;IF(AND(R105="Ja",S105=""),"Befristung ohne Enddatum; ","")&amp;IF(AND(ISNUMBER(O105),ISNUMBER(N105),O105&lt;N105),"Austritt vor Eintritt; ","")&amp;IF(AND(ISNUMBER(AU105),ISNUMBER(AV105),AU105&lt;AV105),"Urlaub unter gesetzl. Minimum; ","")&amp;IF(AND(ISNUMBER(AC105),ISNUMBER(AF105),ABS(N(AC105)-N(AF105))&gt;0.01),"Wochenstd. weichen vom Modell ab; ","")&amp;IF(AND(AI105="Ja",OR(AJ105="",AK105="")),"Kontogrenzen fehlen; ","")&amp;IF(AND(AL105="Mit Gehalt abgegolten (Pauschale)",AM105=""),"Überstunden-Pauschale fehlt; ","")))</f>
        <v/>
      </c>
      <c r="BH105" s="38"/>
    </row>
    <row r="106" customFormat="false" ht="15" hidden="false" customHeight="false" outlineLevel="0" collapsed="false">
      <c r="A106" s="37"/>
      <c r="B106" s="38"/>
      <c r="C106" s="38"/>
      <c r="D106" s="38"/>
      <c r="E106" s="38"/>
      <c r="F106" s="39"/>
      <c r="G106" s="38"/>
      <c r="H106" s="38"/>
      <c r="I106" s="37"/>
      <c r="J106" s="38"/>
      <c r="K106" s="38"/>
      <c r="L106" s="38"/>
      <c r="M106" s="38"/>
      <c r="N106" s="39"/>
      <c r="O106" s="39"/>
      <c r="P106" s="38"/>
      <c r="Q106" s="38"/>
      <c r="R106" s="38"/>
      <c r="S106" s="39"/>
      <c r="T106" s="39"/>
      <c r="U106" s="38"/>
      <c r="V106" s="38"/>
      <c r="W106" s="37"/>
      <c r="X106" s="38"/>
      <c r="Y106" s="38"/>
      <c r="Z106" s="37"/>
      <c r="AA106" s="38"/>
      <c r="AB106" s="38"/>
      <c r="AC106" s="40"/>
      <c r="AD106" s="41"/>
      <c r="AE106" s="42" t="str">
        <f aca="false">IF(OR(A106="",NOT(ISNUMBER(AC106)),NOT(ISNUMBER(AD106))),"",IF(AD106&gt;0,AC106/AD106,""))</f>
        <v/>
      </c>
      <c r="AF106" s="42" t="str">
        <f aca="false">IF(OR(A106="",AB106=""),"",IFERROR(INDEX(Arbeitszeitmodelle!$C$5:$C$34,MATCH(AB106,Arbeitszeitmodelle!$A$5:$A$34,0)),""))</f>
        <v/>
      </c>
      <c r="AG106" s="38"/>
      <c r="AH106" s="38"/>
      <c r="AI106" s="38"/>
      <c r="AJ106" s="41"/>
      <c r="AK106" s="41"/>
      <c r="AL106" s="38"/>
      <c r="AM106" s="41"/>
      <c r="AN106" s="38"/>
      <c r="AO106" s="38"/>
      <c r="AP106" s="38"/>
      <c r="AQ106" s="38"/>
      <c r="AR106" s="41"/>
      <c r="AS106" s="40"/>
      <c r="AT106" s="39"/>
      <c r="AU106" s="41"/>
      <c r="AV106" s="43" t="str">
        <f aca="false">IF(OR(A106="",NOT(ISNUMBER(AD106))),"",P_MinUrlaubWerktage/6*AD106)</f>
        <v/>
      </c>
      <c r="AW106" s="43" t="str">
        <f aca="false">IF(A106="","",IF(M106="Ja",P_ZusatzSB*IF(ISNUMBER(AD106),AD106,5)/5,0))</f>
        <v/>
      </c>
      <c r="AX106" s="41"/>
      <c r="AY106" s="39"/>
      <c r="AZ106" s="43" t="str">
        <f aca="false">IF(OR(A106="",NOT(ISNUMBER(AU106))),"",SUM(AU106,AW106,AX106))</f>
        <v/>
      </c>
      <c r="BA106" s="38"/>
      <c r="BB106" s="44"/>
      <c r="BC106" s="44"/>
      <c r="BD106" s="45" t="str">
        <f aca="false">IF(A106="","",IF(BA106="Stundenlohn",IF(ISNUMBER(BC106),BC106,""),IF(AND(ISNUMBER(BB106),ISNUMBER(AC106)),IF(AC106&gt;0,BB106*12/(AC106*52),""),"")))</f>
        <v/>
      </c>
      <c r="BE106" s="46" t="str">
        <f aca="false">IF(OR(A106="",NOT(ISNUMBER(F106))),"",IFERROR(DATEDIF(F106,P_Stichtag,"Y"),""))</f>
        <v/>
      </c>
      <c r="BF106" s="47" t="str">
        <f aca="false">IF(OR(A106="",NOT(ISNUMBER(BE106))),"",IF(BE106&lt;18,"Ja","Nein"))</f>
        <v/>
      </c>
      <c r="BG106" s="48" t="str">
        <f aca="false">IF(A106="","",IF((IF(OR(B106="",C106="",F106="",N106="",Q106="",AB106="",AC106="",AD106="",AU106=""),"Pflichtfelder fehlen; ","")&amp;IF(AND(ISNUMBER(AC106),AC106&gt;P_MaxWoche),"Wochenstunden &gt; Prüfgrenze; ","")&amp;IF(AND(BF106="Ja",ISNUMBER(AC106),AC106&gt;P_MaxWocheJugend),"Jugendlicher &gt; 40 h/Woche; ","")&amp;IF(AND(ISNUMBER(BD106),BD106&lt;P_Mindestlohn,Q106&lt;&gt;"Auszubildende/r",Q106&lt;&gt;"Praktikant/in"),"Mindestlohn unterschritten?; ","")&amp;IF(AND(Q106="Minijob (geringfügig)",ISNUMBER(BB106),BB106&gt;P_Minijob),"Minijob-Grenze überschritten; ","")&amp;IF(AND(R106="Ja",S106=""),"Befristung ohne Enddatum; ","")&amp;IF(AND(ISNUMBER(O106),ISNUMBER(N106),O106&lt;N106),"Austritt vor Eintritt; ","")&amp;IF(AND(ISNUMBER(AU106),ISNUMBER(AV106),AU106&lt;AV106),"Urlaub unter gesetzl. Minimum; ","")&amp;IF(AND(ISNUMBER(AC106),ISNUMBER(AF106),ABS(N(AC106)-N(AF106))&gt;0.01),"Wochenstd. weichen vom Modell ab; ","")&amp;IF(AND(AI106="Ja",OR(AJ106="",AK106="")),"Kontogrenzen fehlen; ","")&amp;IF(AND(AL106="Mit Gehalt abgegolten (Pauschale)",AM106=""),"Überstunden-Pauschale fehlt; ",""))="","OK",IF(OR(B106="",C106="",F106="",N106="",Q106="",AB106="",AC106="",AD106="",AU106=""),"Pflichtfelder fehlen; ","")&amp;IF(AND(ISNUMBER(AC106),AC106&gt;P_MaxWoche),"Wochenstunden &gt; Prüfgrenze; ","")&amp;IF(AND(BF106="Ja",ISNUMBER(AC106),AC106&gt;P_MaxWocheJugend),"Jugendlicher &gt; 40 h/Woche; ","")&amp;IF(AND(ISNUMBER(BD106),BD106&lt;P_Mindestlohn,Q106&lt;&gt;"Auszubildende/r",Q106&lt;&gt;"Praktikant/in"),"Mindestlohn unterschritten?; ","")&amp;IF(AND(Q106="Minijob (geringfügig)",ISNUMBER(BB106),BB106&gt;P_Minijob),"Minijob-Grenze überschritten; ","")&amp;IF(AND(R106="Ja",S106=""),"Befristung ohne Enddatum; ","")&amp;IF(AND(ISNUMBER(O106),ISNUMBER(N106),O106&lt;N106),"Austritt vor Eintritt; ","")&amp;IF(AND(ISNUMBER(AU106),ISNUMBER(AV106),AU106&lt;AV106),"Urlaub unter gesetzl. Minimum; ","")&amp;IF(AND(ISNUMBER(AC106),ISNUMBER(AF106),ABS(N(AC106)-N(AF106))&gt;0.01),"Wochenstd. weichen vom Modell ab; ","")&amp;IF(AND(AI106="Ja",OR(AJ106="",AK106="")),"Kontogrenzen fehlen; ","")&amp;IF(AND(AL106="Mit Gehalt abgegolten (Pauschale)",AM106=""),"Überstunden-Pauschale fehlt; ","")))</f>
        <v/>
      </c>
      <c r="BH106" s="38"/>
    </row>
    <row r="107" customFormat="false" ht="15" hidden="false" customHeight="false" outlineLevel="0" collapsed="false">
      <c r="A107" s="37"/>
      <c r="B107" s="38"/>
      <c r="C107" s="38"/>
      <c r="D107" s="38"/>
      <c r="E107" s="38"/>
      <c r="F107" s="39"/>
      <c r="G107" s="38"/>
      <c r="H107" s="38"/>
      <c r="I107" s="37"/>
      <c r="J107" s="38"/>
      <c r="K107" s="38"/>
      <c r="L107" s="38"/>
      <c r="M107" s="38"/>
      <c r="N107" s="39"/>
      <c r="O107" s="39"/>
      <c r="P107" s="38"/>
      <c r="Q107" s="38"/>
      <c r="R107" s="38"/>
      <c r="S107" s="39"/>
      <c r="T107" s="39"/>
      <c r="U107" s="38"/>
      <c r="V107" s="38"/>
      <c r="W107" s="37"/>
      <c r="X107" s="38"/>
      <c r="Y107" s="38"/>
      <c r="Z107" s="37"/>
      <c r="AA107" s="38"/>
      <c r="AB107" s="38"/>
      <c r="AC107" s="40"/>
      <c r="AD107" s="41"/>
      <c r="AE107" s="42" t="str">
        <f aca="false">IF(OR(A107="",NOT(ISNUMBER(AC107)),NOT(ISNUMBER(AD107))),"",IF(AD107&gt;0,AC107/AD107,""))</f>
        <v/>
      </c>
      <c r="AF107" s="42" t="str">
        <f aca="false">IF(OR(A107="",AB107=""),"",IFERROR(INDEX(Arbeitszeitmodelle!$C$5:$C$34,MATCH(AB107,Arbeitszeitmodelle!$A$5:$A$34,0)),""))</f>
        <v/>
      </c>
      <c r="AG107" s="38"/>
      <c r="AH107" s="38"/>
      <c r="AI107" s="38"/>
      <c r="AJ107" s="41"/>
      <c r="AK107" s="41"/>
      <c r="AL107" s="38"/>
      <c r="AM107" s="41"/>
      <c r="AN107" s="38"/>
      <c r="AO107" s="38"/>
      <c r="AP107" s="38"/>
      <c r="AQ107" s="38"/>
      <c r="AR107" s="41"/>
      <c r="AS107" s="40"/>
      <c r="AT107" s="39"/>
      <c r="AU107" s="41"/>
      <c r="AV107" s="43" t="str">
        <f aca="false">IF(OR(A107="",NOT(ISNUMBER(AD107))),"",P_MinUrlaubWerktage/6*AD107)</f>
        <v/>
      </c>
      <c r="AW107" s="43" t="str">
        <f aca="false">IF(A107="","",IF(M107="Ja",P_ZusatzSB*IF(ISNUMBER(AD107),AD107,5)/5,0))</f>
        <v/>
      </c>
      <c r="AX107" s="41"/>
      <c r="AY107" s="39"/>
      <c r="AZ107" s="43" t="str">
        <f aca="false">IF(OR(A107="",NOT(ISNUMBER(AU107))),"",SUM(AU107,AW107,AX107))</f>
        <v/>
      </c>
      <c r="BA107" s="38"/>
      <c r="BB107" s="44"/>
      <c r="BC107" s="44"/>
      <c r="BD107" s="45" t="str">
        <f aca="false">IF(A107="","",IF(BA107="Stundenlohn",IF(ISNUMBER(BC107),BC107,""),IF(AND(ISNUMBER(BB107),ISNUMBER(AC107)),IF(AC107&gt;0,BB107*12/(AC107*52),""),"")))</f>
        <v/>
      </c>
      <c r="BE107" s="46" t="str">
        <f aca="false">IF(OR(A107="",NOT(ISNUMBER(F107))),"",IFERROR(DATEDIF(F107,P_Stichtag,"Y"),""))</f>
        <v/>
      </c>
      <c r="BF107" s="47" t="str">
        <f aca="false">IF(OR(A107="",NOT(ISNUMBER(BE107))),"",IF(BE107&lt;18,"Ja","Nein"))</f>
        <v/>
      </c>
      <c r="BG107" s="48" t="str">
        <f aca="false">IF(A107="","",IF((IF(OR(B107="",C107="",F107="",N107="",Q107="",AB107="",AC107="",AD107="",AU107=""),"Pflichtfelder fehlen; ","")&amp;IF(AND(ISNUMBER(AC107),AC107&gt;P_MaxWoche),"Wochenstunden &gt; Prüfgrenze; ","")&amp;IF(AND(BF107="Ja",ISNUMBER(AC107),AC107&gt;P_MaxWocheJugend),"Jugendlicher &gt; 40 h/Woche; ","")&amp;IF(AND(ISNUMBER(BD107),BD107&lt;P_Mindestlohn,Q107&lt;&gt;"Auszubildende/r",Q107&lt;&gt;"Praktikant/in"),"Mindestlohn unterschritten?; ","")&amp;IF(AND(Q107="Minijob (geringfügig)",ISNUMBER(BB107),BB107&gt;P_Minijob),"Minijob-Grenze überschritten; ","")&amp;IF(AND(R107="Ja",S107=""),"Befristung ohne Enddatum; ","")&amp;IF(AND(ISNUMBER(O107),ISNUMBER(N107),O107&lt;N107),"Austritt vor Eintritt; ","")&amp;IF(AND(ISNUMBER(AU107),ISNUMBER(AV107),AU107&lt;AV107),"Urlaub unter gesetzl. Minimum; ","")&amp;IF(AND(ISNUMBER(AC107),ISNUMBER(AF107),ABS(N(AC107)-N(AF107))&gt;0.01),"Wochenstd. weichen vom Modell ab; ","")&amp;IF(AND(AI107="Ja",OR(AJ107="",AK107="")),"Kontogrenzen fehlen; ","")&amp;IF(AND(AL107="Mit Gehalt abgegolten (Pauschale)",AM107=""),"Überstunden-Pauschale fehlt; ",""))="","OK",IF(OR(B107="",C107="",F107="",N107="",Q107="",AB107="",AC107="",AD107="",AU107=""),"Pflichtfelder fehlen; ","")&amp;IF(AND(ISNUMBER(AC107),AC107&gt;P_MaxWoche),"Wochenstunden &gt; Prüfgrenze; ","")&amp;IF(AND(BF107="Ja",ISNUMBER(AC107),AC107&gt;P_MaxWocheJugend),"Jugendlicher &gt; 40 h/Woche; ","")&amp;IF(AND(ISNUMBER(BD107),BD107&lt;P_Mindestlohn,Q107&lt;&gt;"Auszubildende/r",Q107&lt;&gt;"Praktikant/in"),"Mindestlohn unterschritten?; ","")&amp;IF(AND(Q107="Minijob (geringfügig)",ISNUMBER(BB107),BB107&gt;P_Minijob),"Minijob-Grenze überschritten; ","")&amp;IF(AND(R107="Ja",S107=""),"Befristung ohne Enddatum; ","")&amp;IF(AND(ISNUMBER(O107),ISNUMBER(N107),O107&lt;N107),"Austritt vor Eintritt; ","")&amp;IF(AND(ISNUMBER(AU107),ISNUMBER(AV107),AU107&lt;AV107),"Urlaub unter gesetzl. Minimum; ","")&amp;IF(AND(ISNUMBER(AC107),ISNUMBER(AF107),ABS(N(AC107)-N(AF107))&gt;0.01),"Wochenstd. weichen vom Modell ab; ","")&amp;IF(AND(AI107="Ja",OR(AJ107="",AK107="")),"Kontogrenzen fehlen; ","")&amp;IF(AND(AL107="Mit Gehalt abgegolten (Pauschale)",AM107=""),"Überstunden-Pauschale fehlt; ","")))</f>
        <v/>
      </c>
      <c r="BH107" s="38"/>
    </row>
    <row r="108" customFormat="false" ht="15" hidden="false" customHeight="false" outlineLevel="0" collapsed="false">
      <c r="A108" s="37"/>
      <c r="B108" s="38"/>
      <c r="C108" s="38"/>
      <c r="D108" s="38"/>
      <c r="E108" s="38"/>
      <c r="F108" s="39"/>
      <c r="G108" s="38"/>
      <c r="H108" s="38"/>
      <c r="I108" s="37"/>
      <c r="J108" s="38"/>
      <c r="K108" s="38"/>
      <c r="L108" s="38"/>
      <c r="M108" s="38"/>
      <c r="N108" s="39"/>
      <c r="O108" s="39"/>
      <c r="P108" s="38"/>
      <c r="Q108" s="38"/>
      <c r="R108" s="38"/>
      <c r="S108" s="39"/>
      <c r="T108" s="39"/>
      <c r="U108" s="38"/>
      <c r="V108" s="38"/>
      <c r="W108" s="37"/>
      <c r="X108" s="38"/>
      <c r="Y108" s="38"/>
      <c r="Z108" s="37"/>
      <c r="AA108" s="38"/>
      <c r="AB108" s="38"/>
      <c r="AC108" s="40"/>
      <c r="AD108" s="41"/>
      <c r="AE108" s="42" t="str">
        <f aca="false">IF(OR(A108="",NOT(ISNUMBER(AC108)),NOT(ISNUMBER(AD108))),"",IF(AD108&gt;0,AC108/AD108,""))</f>
        <v/>
      </c>
      <c r="AF108" s="42" t="str">
        <f aca="false">IF(OR(A108="",AB108=""),"",IFERROR(INDEX(Arbeitszeitmodelle!$C$5:$C$34,MATCH(AB108,Arbeitszeitmodelle!$A$5:$A$34,0)),""))</f>
        <v/>
      </c>
      <c r="AG108" s="38"/>
      <c r="AH108" s="38"/>
      <c r="AI108" s="38"/>
      <c r="AJ108" s="41"/>
      <c r="AK108" s="41"/>
      <c r="AL108" s="38"/>
      <c r="AM108" s="41"/>
      <c r="AN108" s="38"/>
      <c r="AO108" s="38"/>
      <c r="AP108" s="38"/>
      <c r="AQ108" s="38"/>
      <c r="AR108" s="41"/>
      <c r="AS108" s="40"/>
      <c r="AT108" s="39"/>
      <c r="AU108" s="41"/>
      <c r="AV108" s="43" t="str">
        <f aca="false">IF(OR(A108="",NOT(ISNUMBER(AD108))),"",P_MinUrlaubWerktage/6*AD108)</f>
        <v/>
      </c>
      <c r="AW108" s="43" t="str">
        <f aca="false">IF(A108="","",IF(M108="Ja",P_ZusatzSB*IF(ISNUMBER(AD108),AD108,5)/5,0))</f>
        <v/>
      </c>
      <c r="AX108" s="41"/>
      <c r="AY108" s="39"/>
      <c r="AZ108" s="43" t="str">
        <f aca="false">IF(OR(A108="",NOT(ISNUMBER(AU108))),"",SUM(AU108,AW108,AX108))</f>
        <v/>
      </c>
      <c r="BA108" s="38"/>
      <c r="BB108" s="44"/>
      <c r="BC108" s="44"/>
      <c r="BD108" s="45" t="str">
        <f aca="false">IF(A108="","",IF(BA108="Stundenlohn",IF(ISNUMBER(BC108),BC108,""),IF(AND(ISNUMBER(BB108),ISNUMBER(AC108)),IF(AC108&gt;0,BB108*12/(AC108*52),""),"")))</f>
        <v/>
      </c>
      <c r="BE108" s="46" t="str">
        <f aca="false">IF(OR(A108="",NOT(ISNUMBER(F108))),"",IFERROR(DATEDIF(F108,P_Stichtag,"Y"),""))</f>
        <v/>
      </c>
      <c r="BF108" s="47" t="str">
        <f aca="false">IF(OR(A108="",NOT(ISNUMBER(BE108))),"",IF(BE108&lt;18,"Ja","Nein"))</f>
        <v/>
      </c>
      <c r="BG108" s="48" t="str">
        <f aca="false">IF(A108="","",IF((IF(OR(B108="",C108="",F108="",N108="",Q108="",AB108="",AC108="",AD108="",AU108=""),"Pflichtfelder fehlen; ","")&amp;IF(AND(ISNUMBER(AC108),AC108&gt;P_MaxWoche),"Wochenstunden &gt; Prüfgrenze; ","")&amp;IF(AND(BF108="Ja",ISNUMBER(AC108),AC108&gt;P_MaxWocheJugend),"Jugendlicher &gt; 40 h/Woche; ","")&amp;IF(AND(ISNUMBER(BD108),BD108&lt;P_Mindestlohn,Q108&lt;&gt;"Auszubildende/r",Q108&lt;&gt;"Praktikant/in"),"Mindestlohn unterschritten?; ","")&amp;IF(AND(Q108="Minijob (geringfügig)",ISNUMBER(BB108),BB108&gt;P_Minijob),"Minijob-Grenze überschritten; ","")&amp;IF(AND(R108="Ja",S108=""),"Befristung ohne Enddatum; ","")&amp;IF(AND(ISNUMBER(O108),ISNUMBER(N108),O108&lt;N108),"Austritt vor Eintritt; ","")&amp;IF(AND(ISNUMBER(AU108),ISNUMBER(AV108),AU108&lt;AV108),"Urlaub unter gesetzl. Minimum; ","")&amp;IF(AND(ISNUMBER(AC108),ISNUMBER(AF108),ABS(N(AC108)-N(AF108))&gt;0.01),"Wochenstd. weichen vom Modell ab; ","")&amp;IF(AND(AI108="Ja",OR(AJ108="",AK108="")),"Kontogrenzen fehlen; ","")&amp;IF(AND(AL108="Mit Gehalt abgegolten (Pauschale)",AM108=""),"Überstunden-Pauschale fehlt; ",""))="","OK",IF(OR(B108="",C108="",F108="",N108="",Q108="",AB108="",AC108="",AD108="",AU108=""),"Pflichtfelder fehlen; ","")&amp;IF(AND(ISNUMBER(AC108),AC108&gt;P_MaxWoche),"Wochenstunden &gt; Prüfgrenze; ","")&amp;IF(AND(BF108="Ja",ISNUMBER(AC108),AC108&gt;P_MaxWocheJugend),"Jugendlicher &gt; 40 h/Woche; ","")&amp;IF(AND(ISNUMBER(BD108),BD108&lt;P_Mindestlohn,Q108&lt;&gt;"Auszubildende/r",Q108&lt;&gt;"Praktikant/in"),"Mindestlohn unterschritten?; ","")&amp;IF(AND(Q108="Minijob (geringfügig)",ISNUMBER(BB108),BB108&gt;P_Minijob),"Minijob-Grenze überschritten; ","")&amp;IF(AND(R108="Ja",S108=""),"Befristung ohne Enddatum; ","")&amp;IF(AND(ISNUMBER(O108),ISNUMBER(N108),O108&lt;N108),"Austritt vor Eintritt; ","")&amp;IF(AND(ISNUMBER(AU108),ISNUMBER(AV108),AU108&lt;AV108),"Urlaub unter gesetzl. Minimum; ","")&amp;IF(AND(ISNUMBER(AC108),ISNUMBER(AF108),ABS(N(AC108)-N(AF108))&gt;0.01),"Wochenstd. weichen vom Modell ab; ","")&amp;IF(AND(AI108="Ja",OR(AJ108="",AK108="")),"Kontogrenzen fehlen; ","")&amp;IF(AND(AL108="Mit Gehalt abgegolten (Pauschale)",AM108=""),"Überstunden-Pauschale fehlt; ","")))</f>
        <v/>
      </c>
      <c r="BH108" s="38"/>
    </row>
    <row r="109" customFormat="false" ht="15" hidden="false" customHeight="false" outlineLevel="0" collapsed="false">
      <c r="A109" s="37"/>
      <c r="B109" s="38"/>
      <c r="C109" s="38"/>
      <c r="D109" s="38"/>
      <c r="E109" s="38"/>
      <c r="F109" s="39"/>
      <c r="G109" s="38"/>
      <c r="H109" s="38"/>
      <c r="I109" s="37"/>
      <c r="J109" s="38"/>
      <c r="K109" s="38"/>
      <c r="L109" s="38"/>
      <c r="M109" s="38"/>
      <c r="N109" s="39"/>
      <c r="O109" s="39"/>
      <c r="P109" s="38"/>
      <c r="Q109" s="38"/>
      <c r="R109" s="38"/>
      <c r="S109" s="39"/>
      <c r="T109" s="39"/>
      <c r="U109" s="38"/>
      <c r="V109" s="38"/>
      <c r="W109" s="37"/>
      <c r="X109" s="38"/>
      <c r="Y109" s="38"/>
      <c r="Z109" s="37"/>
      <c r="AA109" s="38"/>
      <c r="AB109" s="38"/>
      <c r="AC109" s="40"/>
      <c r="AD109" s="41"/>
      <c r="AE109" s="42" t="str">
        <f aca="false">IF(OR(A109="",NOT(ISNUMBER(AC109)),NOT(ISNUMBER(AD109))),"",IF(AD109&gt;0,AC109/AD109,""))</f>
        <v/>
      </c>
      <c r="AF109" s="42" t="str">
        <f aca="false">IF(OR(A109="",AB109=""),"",IFERROR(INDEX(Arbeitszeitmodelle!$C$5:$C$34,MATCH(AB109,Arbeitszeitmodelle!$A$5:$A$34,0)),""))</f>
        <v/>
      </c>
      <c r="AG109" s="38"/>
      <c r="AH109" s="38"/>
      <c r="AI109" s="38"/>
      <c r="AJ109" s="41"/>
      <c r="AK109" s="41"/>
      <c r="AL109" s="38"/>
      <c r="AM109" s="41"/>
      <c r="AN109" s="38"/>
      <c r="AO109" s="38"/>
      <c r="AP109" s="38"/>
      <c r="AQ109" s="38"/>
      <c r="AR109" s="41"/>
      <c r="AS109" s="40"/>
      <c r="AT109" s="39"/>
      <c r="AU109" s="41"/>
      <c r="AV109" s="43" t="str">
        <f aca="false">IF(OR(A109="",NOT(ISNUMBER(AD109))),"",P_MinUrlaubWerktage/6*AD109)</f>
        <v/>
      </c>
      <c r="AW109" s="43" t="str">
        <f aca="false">IF(A109="","",IF(M109="Ja",P_ZusatzSB*IF(ISNUMBER(AD109),AD109,5)/5,0))</f>
        <v/>
      </c>
      <c r="AX109" s="41"/>
      <c r="AY109" s="39"/>
      <c r="AZ109" s="43" t="str">
        <f aca="false">IF(OR(A109="",NOT(ISNUMBER(AU109))),"",SUM(AU109,AW109,AX109))</f>
        <v/>
      </c>
      <c r="BA109" s="38"/>
      <c r="BB109" s="44"/>
      <c r="BC109" s="44"/>
      <c r="BD109" s="45" t="str">
        <f aca="false">IF(A109="","",IF(BA109="Stundenlohn",IF(ISNUMBER(BC109),BC109,""),IF(AND(ISNUMBER(BB109),ISNUMBER(AC109)),IF(AC109&gt;0,BB109*12/(AC109*52),""),"")))</f>
        <v/>
      </c>
      <c r="BE109" s="46" t="str">
        <f aca="false">IF(OR(A109="",NOT(ISNUMBER(F109))),"",IFERROR(DATEDIF(F109,P_Stichtag,"Y"),""))</f>
        <v/>
      </c>
      <c r="BF109" s="47" t="str">
        <f aca="false">IF(OR(A109="",NOT(ISNUMBER(BE109))),"",IF(BE109&lt;18,"Ja","Nein"))</f>
        <v/>
      </c>
      <c r="BG109" s="48" t="str">
        <f aca="false">IF(A109="","",IF((IF(OR(B109="",C109="",F109="",N109="",Q109="",AB109="",AC109="",AD109="",AU109=""),"Pflichtfelder fehlen; ","")&amp;IF(AND(ISNUMBER(AC109),AC109&gt;P_MaxWoche),"Wochenstunden &gt; Prüfgrenze; ","")&amp;IF(AND(BF109="Ja",ISNUMBER(AC109),AC109&gt;P_MaxWocheJugend),"Jugendlicher &gt; 40 h/Woche; ","")&amp;IF(AND(ISNUMBER(BD109),BD109&lt;P_Mindestlohn,Q109&lt;&gt;"Auszubildende/r",Q109&lt;&gt;"Praktikant/in"),"Mindestlohn unterschritten?; ","")&amp;IF(AND(Q109="Minijob (geringfügig)",ISNUMBER(BB109),BB109&gt;P_Minijob),"Minijob-Grenze überschritten; ","")&amp;IF(AND(R109="Ja",S109=""),"Befristung ohne Enddatum; ","")&amp;IF(AND(ISNUMBER(O109),ISNUMBER(N109),O109&lt;N109),"Austritt vor Eintritt; ","")&amp;IF(AND(ISNUMBER(AU109),ISNUMBER(AV109),AU109&lt;AV109),"Urlaub unter gesetzl. Minimum; ","")&amp;IF(AND(ISNUMBER(AC109),ISNUMBER(AF109),ABS(N(AC109)-N(AF109))&gt;0.01),"Wochenstd. weichen vom Modell ab; ","")&amp;IF(AND(AI109="Ja",OR(AJ109="",AK109="")),"Kontogrenzen fehlen; ","")&amp;IF(AND(AL109="Mit Gehalt abgegolten (Pauschale)",AM109=""),"Überstunden-Pauschale fehlt; ",""))="","OK",IF(OR(B109="",C109="",F109="",N109="",Q109="",AB109="",AC109="",AD109="",AU109=""),"Pflichtfelder fehlen; ","")&amp;IF(AND(ISNUMBER(AC109),AC109&gt;P_MaxWoche),"Wochenstunden &gt; Prüfgrenze; ","")&amp;IF(AND(BF109="Ja",ISNUMBER(AC109),AC109&gt;P_MaxWocheJugend),"Jugendlicher &gt; 40 h/Woche; ","")&amp;IF(AND(ISNUMBER(BD109),BD109&lt;P_Mindestlohn,Q109&lt;&gt;"Auszubildende/r",Q109&lt;&gt;"Praktikant/in"),"Mindestlohn unterschritten?; ","")&amp;IF(AND(Q109="Minijob (geringfügig)",ISNUMBER(BB109),BB109&gt;P_Minijob),"Minijob-Grenze überschritten; ","")&amp;IF(AND(R109="Ja",S109=""),"Befristung ohne Enddatum; ","")&amp;IF(AND(ISNUMBER(O109),ISNUMBER(N109),O109&lt;N109),"Austritt vor Eintritt; ","")&amp;IF(AND(ISNUMBER(AU109),ISNUMBER(AV109),AU109&lt;AV109),"Urlaub unter gesetzl. Minimum; ","")&amp;IF(AND(ISNUMBER(AC109),ISNUMBER(AF109),ABS(N(AC109)-N(AF109))&gt;0.01),"Wochenstd. weichen vom Modell ab; ","")&amp;IF(AND(AI109="Ja",OR(AJ109="",AK109="")),"Kontogrenzen fehlen; ","")&amp;IF(AND(AL109="Mit Gehalt abgegolten (Pauschale)",AM109=""),"Überstunden-Pauschale fehlt; ","")))</f>
        <v/>
      </c>
      <c r="BH109" s="38"/>
    </row>
    <row r="110" customFormat="false" ht="15" hidden="false" customHeight="false" outlineLevel="0" collapsed="false">
      <c r="A110" s="37"/>
      <c r="B110" s="38"/>
      <c r="C110" s="38"/>
      <c r="D110" s="38"/>
      <c r="E110" s="38"/>
      <c r="F110" s="39"/>
      <c r="G110" s="38"/>
      <c r="H110" s="38"/>
      <c r="I110" s="37"/>
      <c r="J110" s="38"/>
      <c r="K110" s="38"/>
      <c r="L110" s="38"/>
      <c r="M110" s="38"/>
      <c r="N110" s="39"/>
      <c r="O110" s="39"/>
      <c r="P110" s="38"/>
      <c r="Q110" s="38"/>
      <c r="R110" s="38"/>
      <c r="S110" s="39"/>
      <c r="T110" s="39"/>
      <c r="U110" s="38"/>
      <c r="V110" s="38"/>
      <c r="W110" s="37"/>
      <c r="X110" s="38"/>
      <c r="Y110" s="38"/>
      <c r="Z110" s="37"/>
      <c r="AA110" s="38"/>
      <c r="AB110" s="38"/>
      <c r="AC110" s="40"/>
      <c r="AD110" s="41"/>
      <c r="AE110" s="42" t="str">
        <f aca="false">IF(OR(A110="",NOT(ISNUMBER(AC110)),NOT(ISNUMBER(AD110))),"",IF(AD110&gt;0,AC110/AD110,""))</f>
        <v/>
      </c>
      <c r="AF110" s="42" t="str">
        <f aca="false">IF(OR(A110="",AB110=""),"",IFERROR(INDEX(Arbeitszeitmodelle!$C$5:$C$34,MATCH(AB110,Arbeitszeitmodelle!$A$5:$A$34,0)),""))</f>
        <v/>
      </c>
      <c r="AG110" s="38"/>
      <c r="AH110" s="38"/>
      <c r="AI110" s="38"/>
      <c r="AJ110" s="41"/>
      <c r="AK110" s="41"/>
      <c r="AL110" s="38"/>
      <c r="AM110" s="41"/>
      <c r="AN110" s="38"/>
      <c r="AO110" s="38"/>
      <c r="AP110" s="38"/>
      <c r="AQ110" s="38"/>
      <c r="AR110" s="41"/>
      <c r="AS110" s="40"/>
      <c r="AT110" s="39"/>
      <c r="AU110" s="41"/>
      <c r="AV110" s="43" t="str">
        <f aca="false">IF(OR(A110="",NOT(ISNUMBER(AD110))),"",P_MinUrlaubWerktage/6*AD110)</f>
        <v/>
      </c>
      <c r="AW110" s="43" t="str">
        <f aca="false">IF(A110="","",IF(M110="Ja",P_ZusatzSB*IF(ISNUMBER(AD110),AD110,5)/5,0))</f>
        <v/>
      </c>
      <c r="AX110" s="41"/>
      <c r="AY110" s="39"/>
      <c r="AZ110" s="43" t="str">
        <f aca="false">IF(OR(A110="",NOT(ISNUMBER(AU110))),"",SUM(AU110,AW110,AX110))</f>
        <v/>
      </c>
      <c r="BA110" s="38"/>
      <c r="BB110" s="44"/>
      <c r="BC110" s="44"/>
      <c r="BD110" s="45" t="str">
        <f aca="false">IF(A110="","",IF(BA110="Stundenlohn",IF(ISNUMBER(BC110),BC110,""),IF(AND(ISNUMBER(BB110),ISNUMBER(AC110)),IF(AC110&gt;0,BB110*12/(AC110*52),""),"")))</f>
        <v/>
      </c>
      <c r="BE110" s="46" t="str">
        <f aca="false">IF(OR(A110="",NOT(ISNUMBER(F110))),"",IFERROR(DATEDIF(F110,P_Stichtag,"Y"),""))</f>
        <v/>
      </c>
      <c r="BF110" s="47" t="str">
        <f aca="false">IF(OR(A110="",NOT(ISNUMBER(BE110))),"",IF(BE110&lt;18,"Ja","Nein"))</f>
        <v/>
      </c>
      <c r="BG110" s="48" t="str">
        <f aca="false">IF(A110="","",IF((IF(OR(B110="",C110="",F110="",N110="",Q110="",AB110="",AC110="",AD110="",AU110=""),"Pflichtfelder fehlen; ","")&amp;IF(AND(ISNUMBER(AC110),AC110&gt;P_MaxWoche),"Wochenstunden &gt; Prüfgrenze; ","")&amp;IF(AND(BF110="Ja",ISNUMBER(AC110),AC110&gt;P_MaxWocheJugend),"Jugendlicher &gt; 40 h/Woche; ","")&amp;IF(AND(ISNUMBER(BD110),BD110&lt;P_Mindestlohn,Q110&lt;&gt;"Auszubildende/r",Q110&lt;&gt;"Praktikant/in"),"Mindestlohn unterschritten?; ","")&amp;IF(AND(Q110="Minijob (geringfügig)",ISNUMBER(BB110),BB110&gt;P_Minijob),"Minijob-Grenze überschritten; ","")&amp;IF(AND(R110="Ja",S110=""),"Befristung ohne Enddatum; ","")&amp;IF(AND(ISNUMBER(O110),ISNUMBER(N110),O110&lt;N110),"Austritt vor Eintritt; ","")&amp;IF(AND(ISNUMBER(AU110),ISNUMBER(AV110),AU110&lt;AV110),"Urlaub unter gesetzl. Minimum; ","")&amp;IF(AND(ISNUMBER(AC110),ISNUMBER(AF110),ABS(N(AC110)-N(AF110))&gt;0.01),"Wochenstd. weichen vom Modell ab; ","")&amp;IF(AND(AI110="Ja",OR(AJ110="",AK110="")),"Kontogrenzen fehlen; ","")&amp;IF(AND(AL110="Mit Gehalt abgegolten (Pauschale)",AM110=""),"Überstunden-Pauschale fehlt; ",""))="","OK",IF(OR(B110="",C110="",F110="",N110="",Q110="",AB110="",AC110="",AD110="",AU110=""),"Pflichtfelder fehlen; ","")&amp;IF(AND(ISNUMBER(AC110),AC110&gt;P_MaxWoche),"Wochenstunden &gt; Prüfgrenze; ","")&amp;IF(AND(BF110="Ja",ISNUMBER(AC110),AC110&gt;P_MaxWocheJugend),"Jugendlicher &gt; 40 h/Woche; ","")&amp;IF(AND(ISNUMBER(BD110),BD110&lt;P_Mindestlohn,Q110&lt;&gt;"Auszubildende/r",Q110&lt;&gt;"Praktikant/in"),"Mindestlohn unterschritten?; ","")&amp;IF(AND(Q110="Minijob (geringfügig)",ISNUMBER(BB110),BB110&gt;P_Minijob),"Minijob-Grenze überschritten; ","")&amp;IF(AND(R110="Ja",S110=""),"Befristung ohne Enddatum; ","")&amp;IF(AND(ISNUMBER(O110),ISNUMBER(N110),O110&lt;N110),"Austritt vor Eintritt; ","")&amp;IF(AND(ISNUMBER(AU110),ISNUMBER(AV110),AU110&lt;AV110),"Urlaub unter gesetzl. Minimum; ","")&amp;IF(AND(ISNUMBER(AC110),ISNUMBER(AF110),ABS(N(AC110)-N(AF110))&gt;0.01),"Wochenstd. weichen vom Modell ab; ","")&amp;IF(AND(AI110="Ja",OR(AJ110="",AK110="")),"Kontogrenzen fehlen; ","")&amp;IF(AND(AL110="Mit Gehalt abgegolten (Pauschale)",AM110=""),"Überstunden-Pauschale fehlt; ","")))</f>
        <v/>
      </c>
      <c r="BH110" s="38"/>
    </row>
    <row r="111" customFormat="false" ht="15" hidden="false" customHeight="false" outlineLevel="0" collapsed="false">
      <c r="A111" s="37"/>
      <c r="B111" s="38"/>
      <c r="C111" s="38"/>
      <c r="D111" s="38"/>
      <c r="E111" s="38"/>
      <c r="F111" s="39"/>
      <c r="G111" s="38"/>
      <c r="H111" s="38"/>
      <c r="I111" s="37"/>
      <c r="J111" s="38"/>
      <c r="K111" s="38"/>
      <c r="L111" s="38"/>
      <c r="M111" s="38"/>
      <c r="N111" s="39"/>
      <c r="O111" s="39"/>
      <c r="P111" s="38"/>
      <c r="Q111" s="38"/>
      <c r="R111" s="38"/>
      <c r="S111" s="39"/>
      <c r="T111" s="39"/>
      <c r="U111" s="38"/>
      <c r="V111" s="38"/>
      <c r="W111" s="37"/>
      <c r="X111" s="38"/>
      <c r="Y111" s="38"/>
      <c r="Z111" s="37"/>
      <c r="AA111" s="38"/>
      <c r="AB111" s="38"/>
      <c r="AC111" s="40"/>
      <c r="AD111" s="41"/>
      <c r="AE111" s="42" t="str">
        <f aca="false">IF(OR(A111="",NOT(ISNUMBER(AC111)),NOT(ISNUMBER(AD111))),"",IF(AD111&gt;0,AC111/AD111,""))</f>
        <v/>
      </c>
      <c r="AF111" s="42" t="str">
        <f aca="false">IF(OR(A111="",AB111=""),"",IFERROR(INDEX(Arbeitszeitmodelle!$C$5:$C$34,MATCH(AB111,Arbeitszeitmodelle!$A$5:$A$34,0)),""))</f>
        <v/>
      </c>
      <c r="AG111" s="38"/>
      <c r="AH111" s="38"/>
      <c r="AI111" s="38"/>
      <c r="AJ111" s="41"/>
      <c r="AK111" s="41"/>
      <c r="AL111" s="38"/>
      <c r="AM111" s="41"/>
      <c r="AN111" s="38"/>
      <c r="AO111" s="38"/>
      <c r="AP111" s="38"/>
      <c r="AQ111" s="38"/>
      <c r="AR111" s="41"/>
      <c r="AS111" s="40"/>
      <c r="AT111" s="39"/>
      <c r="AU111" s="41"/>
      <c r="AV111" s="43" t="str">
        <f aca="false">IF(OR(A111="",NOT(ISNUMBER(AD111))),"",P_MinUrlaubWerktage/6*AD111)</f>
        <v/>
      </c>
      <c r="AW111" s="43" t="str">
        <f aca="false">IF(A111="","",IF(M111="Ja",P_ZusatzSB*IF(ISNUMBER(AD111),AD111,5)/5,0))</f>
        <v/>
      </c>
      <c r="AX111" s="41"/>
      <c r="AY111" s="39"/>
      <c r="AZ111" s="43" t="str">
        <f aca="false">IF(OR(A111="",NOT(ISNUMBER(AU111))),"",SUM(AU111,AW111,AX111))</f>
        <v/>
      </c>
      <c r="BA111" s="38"/>
      <c r="BB111" s="44"/>
      <c r="BC111" s="44"/>
      <c r="BD111" s="45" t="str">
        <f aca="false">IF(A111="","",IF(BA111="Stundenlohn",IF(ISNUMBER(BC111),BC111,""),IF(AND(ISNUMBER(BB111),ISNUMBER(AC111)),IF(AC111&gt;0,BB111*12/(AC111*52),""),"")))</f>
        <v/>
      </c>
      <c r="BE111" s="46" t="str">
        <f aca="false">IF(OR(A111="",NOT(ISNUMBER(F111))),"",IFERROR(DATEDIF(F111,P_Stichtag,"Y"),""))</f>
        <v/>
      </c>
      <c r="BF111" s="47" t="str">
        <f aca="false">IF(OR(A111="",NOT(ISNUMBER(BE111))),"",IF(BE111&lt;18,"Ja","Nein"))</f>
        <v/>
      </c>
      <c r="BG111" s="48" t="str">
        <f aca="false">IF(A111="","",IF((IF(OR(B111="",C111="",F111="",N111="",Q111="",AB111="",AC111="",AD111="",AU111=""),"Pflichtfelder fehlen; ","")&amp;IF(AND(ISNUMBER(AC111),AC111&gt;P_MaxWoche),"Wochenstunden &gt; Prüfgrenze; ","")&amp;IF(AND(BF111="Ja",ISNUMBER(AC111),AC111&gt;P_MaxWocheJugend),"Jugendlicher &gt; 40 h/Woche; ","")&amp;IF(AND(ISNUMBER(BD111),BD111&lt;P_Mindestlohn,Q111&lt;&gt;"Auszubildende/r",Q111&lt;&gt;"Praktikant/in"),"Mindestlohn unterschritten?; ","")&amp;IF(AND(Q111="Minijob (geringfügig)",ISNUMBER(BB111),BB111&gt;P_Minijob),"Minijob-Grenze überschritten; ","")&amp;IF(AND(R111="Ja",S111=""),"Befristung ohne Enddatum; ","")&amp;IF(AND(ISNUMBER(O111),ISNUMBER(N111),O111&lt;N111),"Austritt vor Eintritt; ","")&amp;IF(AND(ISNUMBER(AU111),ISNUMBER(AV111),AU111&lt;AV111),"Urlaub unter gesetzl. Minimum; ","")&amp;IF(AND(ISNUMBER(AC111),ISNUMBER(AF111),ABS(N(AC111)-N(AF111))&gt;0.01),"Wochenstd. weichen vom Modell ab; ","")&amp;IF(AND(AI111="Ja",OR(AJ111="",AK111="")),"Kontogrenzen fehlen; ","")&amp;IF(AND(AL111="Mit Gehalt abgegolten (Pauschale)",AM111=""),"Überstunden-Pauschale fehlt; ",""))="","OK",IF(OR(B111="",C111="",F111="",N111="",Q111="",AB111="",AC111="",AD111="",AU111=""),"Pflichtfelder fehlen; ","")&amp;IF(AND(ISNUMBER(AC111),AC111&gt;P_MaxWoche),"Wochenstunden &gt; Prüfgrenze; ","")&amp;IF(AND(BF111="Ja",ISNUMBER(AC111),AC111&gt;P_MaxWocheJugend),"Jugendlicher &gt; 40 h/Woche; ","")&amp;IF(AND(ISNUMBER(BD111),BD111&lt;P_Mindestlohn,Q111&lt;&gt;"Auszubildende/r",Q111&lt;&gt;"Praktikant/in"),"Mindestlohn unterschritten?; ","")&amp;IF(AND(Q111="Minijob (geringfügig)",ISNUMBER(BB111),BB111&gt;P_Minijob),"Minijob-Grenze überschritten; ","")&amp;IF(AND(R111="Ja",S111=""),"Befristung ohne Enddatum; ","")&amp;IF(AND(ISNUMBER(O111),ISNUMBER(N111),O111&lt;N111),"Austritt vor Eintritt; ","")&amp;IF(AND(ISNUMBER(AU111),ISNUMBER(AV111),AU111&lt;AV111),"Urlaub unter gesetzl. Minimum; ","")&amp;IF(AND(ISNUMBER(AC111),ISNUMBER(AF111),ABS(N(AC111)-N(AF111))&gt;0.01),"Wochenstd. weichen vom Modell ab; ","")&amp;IF(AND(AI111="Ja",OR(AJ111="",AK111="")),"Kontogrenzen fehlen; ","")&amp;IF(AND(AL111="Mit Gehalt abgegolten (Pauschale)",AM111=""),"Überstunden-Pauschale fehlt; ","")))</f>
        <v/>
      </c>
      <c r="BH111" s="38"/>
    </row>
    <row r="112" customFormat="false" ht="15" hidden="false" customHeight="false" outlineLevel="0" collapsed="false">
      <c r="A112" s="37"/>
      <c r="B112" s="38"/>
      <c r="C112" s="38"/>
      <c r="D112" s="38"/>
      <c r="E112" s="38"/>
      <c r="F112" s="39"/>
      <c r="G112" s="38"/>
      <c r="H112" s="38"/>
      <c r="I112" s="37"/>
      <c r="J112" s="38"/>
      <c r="K112" s="38"/>
      <c r="L112" s="38"/>
      <c r="M112" s="38"/>
      <c r="N112" s="39"/>
      <c r="O112" s="39"/>
      <c r="P112" s="38"/>
      <c r="Q112" s="38"/>
      <c r="R112" s="38"/>
      <c r="S112" s="39"/>
      <c r="T112" s="39"/>
      <c r="U112" s="38"/>
      <c r="V112" s="38"/>
      <c r="W112" s="37"/>
      <c r="X112" s="38"/>
      <c r="Y112" s="38"/>
      <c r="Z112" s="37"/>
      <c r="AA112" s="38"/>
      <c r="AB112" s="38"/>
      <c r="AC112" s="40"/>
      <c r="AD112" s="41"/>
      <c r="AE112" s="42" t="str">
        <f aca="false">IF(OR(A112="",NOT(ISNUMBER(AC112)),NOT(ISNUMBER(AD112))),"",IF(AD112&gt;0,AC112/AD112,""))</f>
        <v/>
      </c>
      <c r="AF112" s="42" t="str">
        <f aca="false">IF(OR(A112="",AB112=""),"",IFERROR(INDEX(Arbeitszeitmodelle!$C$5:$C$34,MATCH(AB112,Arbeitszeitmodelle!$A$5:$A$34,0)),""))</f>
        <v/>
      </c>
      <c r="AG112" s="38"/>
      <c r="AH112" s="38"/>
      <c r="AI112" s="38"/>
      <c r="AJ112" s="41"/>
      <c r="AK112" s="41"/>
      <c r="AL112" s="38"/>
      <c r="AM112" s="41"/>
      <c r="AN112" s="38"/>
      <c r="AO112" s="38"/>
      <c r="AP112" s="38"/>
      <c r="AQ112" s="38"/>
      <c r="AR112" s="41"/>
      <c r="AS112" s="40"/>
      <c r="AT112" s="39"/>
      <c r="AU112" s="41"/>
      <c r="AV112" s="43" t="str">
        <f aca="false">IF(OR(A112="",NOT(ISNUMBER(AD112))),"",P_MinUrlaubWerktage/6*AD112)</f>
        <v/>
      </c>
      <c r="AW112" s="43" t="str">
        <f aca="false">IF(A112="","",IF(M112="Ja",P_ZusatzSB*IF(ISNUMBER(AD112),AD112,5)/5,0))</f>
        <v/>
      </c>
      <c r="AX112" s="41"/>
      <c r="AY112" s="39"/>
      <c r="AZ112" s="43" t="str">
        <f aca="false">IF(OR(A112="",NOT(ISNUMBER(AU112))),"",SUM(AU112,AW112,AX112))</f>
        <v/>
      </c>
      <c r="BA112" s="38"/>
      <c r="BB112" s="44"/>
      <c r="BC112" s="44"/>
      <c r="BD112" s="45" t="str">
        <f aca="false">IF(A112="","",IF(BA112="Stundenlohn",IF(ISNUMBER(BC112),BC112,""),IF(AND(ISNUMBER(BB112),ISNUMBER(AC112)),IF(AC112&gt;0,BB112*12/(AC112*52),""),"")))</f>
        <v/>
      </c>
      <c r="BE112" s="46" t="str">
        <f aca="false">IF(OR(A112="",NOT(ISNUMBER(F112))),"",IFERROR(DATEDIF(F112,P_Stichtag,"Y"),""))</f>
        <v/>
      </c>
      <c r="BF112" s="47" t="str">
        <f aca="false">IF(OR(A112="",NOT(ISNUMBER(BE112))),"",IF(BE112&lt;18,"Ja","Nein"))</f>
        <v/>
      </c>
      <c r="BG112" s="48" t="str">
        <f aca="false">IF(A112="","",IF((IF(OR(B112="",C112="",F112="",N112="",Q112="",AB112="",AC112="",AD112="",AU112=""),"Pflichtfelder fehlen; ","")&amp;IF(AND(ISNUMBER(AC112),AC112&gt;P_MaxWoche),"Wochenstunden &gt; Prüfgrenze; ","")&amp;IF(AND(BF112="Ja",ISNUMBER(AC112),AC112&gt;P_MaxWocheJugend),"Jugendlicher &gt; 40 h/Woche; ","")&amp;IF(AND(ISNUMBER(BD112),BD112&lt;P_Mindestlohn,Q112&lt;&gt;"Auszubildende/r",Q112&lt;&gt;"Praktikant/in"),"Mindestlohn unterschritten?; ","")&amp;IF(AND(Q112="Minijob (geringfügig)",ISNUMBER(BB112),BB112&gt;P_Minijob),"Minijob-Grenze überschritten; ","")&amp;IF(AND(R112="Ja",S112=""),"Befristung ohne Enddatum; ","")&amp;IF(AND(ISNUMBER(O112),ISNUMBER(N112),O112&lt;N112),"Austritt vor Eintritt; ","")&amp;IF(AND(ISNUMBER(AU112),ISNUMBER(AV112),AU112&lt;AV112),"Urlaub unter gesetzl. Minimum; ","")&amp;IF(AND(ISNUMBER(AC112),ISNUMBER(AF112),ABS(N(AC112)-N(AF112))&gt;0.01),"Wochenstd. weichen vom Modell ab; ","")&amp;IF(AND(AI112="Ja",OR(AJ112="",AK112="")),"Kontogrenzen fehlen; ","")&amp;IF(AND(AL112="Mit Gehalt abgegolten (Pauschale)",AM112=""),"Überstunden-Pauschale fehlt; ",""))="","OK",IF(OR(B112="",C112="",F112="",N112="",Q112="",AB112="",AC112="",AD112="",AU112=""),"Pflichtfelder fehlen; ","")&amp;IF(AND(ISNUMBER(AC112),AC112&gt;P_MaxWoche),"Wochenstunden &gt; Prüfgrenze; ","")&amp;IF(AND(BF112="Ja",ISNUMBER(AC112),AC112&gt;P_MaxWocheJugend),"Jugendlicher &gt; 40 h/Woche; ","")&amp;IF(AND(ISNUMBER(BD112),BD112&lt;P_Mindestlohn,Q112&lt;&gt;"Auszubildende/r",Q112&lt;&gt;"Praktikant/in"),"Mindestlohn unterschritten?; ","")&amp;IF(AND(Q112="Minijob (geringfügig)",ISNUMBER(BB112),BB112&gt;P_Minijob),"Minijob-Grenze überschritten; ","")&amp;IF(AND(R112="Ja",S112=""),"Befristung ohne Enddatum; ","")&amp;IF(AND(ISNUMBER(O112),ISNUMBER(N112),O112&lt;N112),"Austritt vor Eintritt; ","")&amp;IF(AND(ISNUMBER(AU112),ISNUMBER(AV112),AU112&lt;AV112),"Urlaub unter gesetzl. Minimum; ","")&amp;IF(AND(ISNUMBER(AC112),ISNUMBER(AF112),ABS(N(AC112)-N(AF112))&gt;0.01),"Wochenstd. weichen vom Modell ab; ","")&amp;IF(AND(AI112="Ja",OR(AJ112="",AK112="")),"Kontogrenzen fehlen; ","")&amp;IF(AND(AL112="Mit Gehalt abgegolten (Pauschale)",AM112=""),"Überstunden-Pauschale fehlt; ","")))</f>
        <v/>
      </c>
      <c r="BH112" s="38"/>
    </row>
    <row r="113" customFormat="false" ht="15" hidden="false" customHeight="false" outlineLevel="0" collapsed="false">
      <c r="A113" s="37"/>
      <c r="B113" s="38"/>
      <c r="C113" s="38"/>
      <c r="D113" s="38"/>
      <c r="E113" s="38"/>
      <c r="F113" s="39"/>
      <c r="G113" s="38"/>
      <c r="H113" s="38"/>
      <c r="I113" s="37"/>
      <c r="J113" s="38"/>
      <c r="K113" s="38"/>
      <c r="L113" s="38"/>
      <c r="M113" s="38"/>
      <c r="N113" s="39"/>
      <c r="O113" s="39"/>
      <c r="P113" s="38"/>
      <c r="Q113" s="38"/>
      <c r="R113" s="38"/>
      <c r="S113" s="39"/>
      <c r="T113" s="39"/>
      <c r="U113" s="38"/>
      <c r="V113" s="38"/>
      <c r="W113" s="37"/>
      <c r="X113" s="38"/>
      <c r="Y113" s="38"/>
      <c r="Z113" s="37"/>
      <c r="AA113" s="38"/>
      <c r="AB113" s="38"/>
      <c r="AC113" s="40"/>
      <c r="AD113" s="41"/>
      <c r="AE113" s="42" t="str">
        <f aca="false">IF(OR(A113="",NOT(ISNUMBER(AC113)),NOT(ISNUMBER(AD113))),"",IF(AD113&gt;0,AC113/AD113,""))</f>
        <v/>
      </c>
      <c r="AF113" s="42" t="str">
        <f aca="false">IF(OR(A113="",AB113=""),"",IFERROR(INDEX(Arbeitszeitmodelle!$C$5:$C$34,MATCH(AB113,Arbeitszeitmodelle!$A$5:$A$34,0)),""))</f>
        <v/>
      </c>
      <c r="AG113" s="38"/>
      <c r="AH113" s="38"/>
      <c r="AI113" s="38"/>
      <c r="AJ113" s="41"/>
      <c r="AK113" s="41"/>
      <c r="AL113" s="38"/>
      <c r="AM113" s="41"/>
      <c r="AN113" s="38"/>
      <c r="AO113" s="38"/>
      <c r="AP113" s="38"/>
      <c r="AQ113" s="38"/>
      <c r="AR113" s="41"/>
      <c r="AS113" s="40"/>
      <c r="AT113" s="39"/>
      <c r="AU113" s="41"/>
      <c r="AV113" s="43" t="str">
        <f aca="false">IF(OR(A113="",NOT(ISNUMBER(AD113))),"",P_MinUrlaubWerktage/6*AD113)</f>
        <v/>
      </c>
      <c r="AW113" s="43" t="str">
        <f aca="false">IF(A113="","",IF(M113="Ja",P_ZusatzSB*IF(ISNUMBER(AD113),AD113,5)/5,0))</f>
        <v/>
      </c>
      <c r="AX113" s="41"/>
      <c r="AY113" s="39"/>
      <c r="AZ113" s="43" t="str">
        <f aca="false">IF(OR(A113="",NOT(ISNUMBER(AU113))),"",SUM(AU113,AW113,AX113))</f>
        <v/>
      </c>
      <c r="BA113" s="38"/>
      <c r="BB113" s="44"/>
      <c r="BC113" s="44"/>
      <c r="BD113" s="45" t="str">
        <f aca="false">IF(A113="","",IF(BA113="Stundenlohn",IF(ISNUMBER(BC113),BC113,""),IF(AND(ISNUMBER(BB113),ISNUMBER(AC113)),IF(AC113&gt;0,BB113*12/(AC113*52),""),"")))</f>
        <v/>
      </c>
      <c r="BE113" s="46" t="str">
        <f aca="false">IF(OR(A113="",NOT(ISNUMBER(F113))),"",IFERROR(DATEDIF(F113,P_Stichtag,"Y"),""))</f>
        <v/>
      </c>
      <c r="BF113" s="47" t="str">
        <f aca="false">IF(OR(A113="",NOT(ISNUMBER(BE113))),"",IF(BE113&lt;18,"Ja","Nein"))</f>
        <v/>
      </c>
      <c r="BG113" s="48" t="str">
        <f aca="false">IF(A113="","",IF((IF(OR(B113="",C113="",F113="",N113="",Q113="",AB113="",AC113="",AD113="",AU113=""),"Pflichtfelder fehlen; ","")&amp;IF(AND(ISNUMBER(AC113),AC113&gt;P_MaxWoche),"Wochenstunden &gt; Prüfgrenze; ","")&amp;IF(AND(BF113="Ja",ISNUMBER(AC113),AC113&gt;P_MaxWocheJugend),"Jugendlicher &gt; 40 h/Woche; ","")&amp;IF(AND(ISNUMBER(BD113),BD113&lt;P_Mindestlohn,Q113&lt;&gt;"Auszubildende/r",Q113&lt;&gt;"Praktikant/in"),"Mindestlohn unterschritten?; ","")&amp;IF(AND(Q113="Minijob (geringfügig)",ISNUMBER(BB113),BB113&gt;P_Minijob),"Minijob-Grenze überschritten; ","")&amp;IF(AND(R113="Ja",S113=""),"Befristung ohne Enddatum; ","")&amp;IF(AND(ISNUMBER(O113),ISNUMBER(N113),O113&lt;N113),"Austritt vor Eintritt; ","")&amp;IF(AND(ISNUMBER(AU113),ISNUMBER(AV113),AU113&lt;AV113),"Urlaub unter gesetzl. Minimum; ","")&amp;IF(AND(ISNUMBER(AC113),ISNUMBER(AF113),ABS(N(AC113)-N(AF113))&gt;0.01),"Wochenstd. weichen vom Modell ab; ","")&amp;IF(AND(AI113="Ja",OR(AJ113="",AK113="")),"Kontogrenzen fehlen; ","")&amp;IF(AND(AL113="Mit Gehalt abgegolten (Pauschale)",AM113=""),"Überstunden-Pauschale fehlt; ",""))="","OK",IF(OR(B113="",C113="",F113="",N113="",Q113="",AB113="",AC113="",AD113="",AU113=""),"Pflichtfelder fehlen; ","")&amp;IF(AND(ISNUMBER(AC113),AC113&gt;P_MaxWoche),"Wochenstunden &gt; Prüfgrenze; ","")&amp;IF(AND(BF113="Ja",ISNUMBER(AC113),AC113&gt;P_MaxWocheJugend),"Jugendlicher &gt; 40 h/Woche; ","")&amp;IF(AND(ISNUMBER(BD113),BD113&lt;P_Mindestlohn,Q113&lt;&gt;"Auszubildende/r",Q113&lt;&gt;"Praktikant/in"),"Mindestlohn unterschritten?; ","")&amp;IF(AND(Q113="Minijob (geringfügig)",ISNUMBER(BB113),BB113&gt;P_Minijob),"Minijob-Grenze überschritten; ","")&amp;IF(AND(R113="Ja",S113=""),"Befristung ohne Enddatum; ","")&amp;IF(AND(ISNUMBER(O113),ISNUMBER(N113),O113&lt;N113),"Austritt vor Eintritt; ","")&amp;IF(AND(ISNUMBER(AU113),ISNUMBER(AV113),AU113&lt;AV113),"Urlaub unter gesetzl. Minimum; ","")&amp;IF(AND(ISNUMBER(AC113),ISNUMBER(AF113),ABS(N(AC113)-N(AF113))&gt;0.01),"Wochenstd. weichen vom Modell ab; ","")&amp;IF(AND(AI113="Ja",OR(AJ113="",AK113="")),"Kontogrenzen fehlen; ","")&amp;IF(AND(AL113="Mit Gehalt abgegolten (Pauschale)",AM113=""),"Überstunden-Pauschale fehlt; ","")))</f>
        <v/>
      </c>
      <c r="BH113" s="38"/>
    </row>
    <row r="114" customFormat="false" ht="15" hidden="false" customHeight="false" outlineLevel="0" collapsed="false">
      <c r="A114" s="37"/>
      <c r="B114" s="38"/>
      <c r="C114" s="38"/>
      <c r="D114" s="38"/>
      <c r="E114" s="38"/>
      <c r="F114" s="39"/>
      <c r="G114" s="38"/>
      <c r="H114" s="38"/>
      <c r="I114" s="37"/>
      <c r="J114" s="38"/>
      <c r="K114" s="38"/>
      <c r="L114" s="38"/>
      <c r="M114" s="38"/>
      <c r="N114" s="39"/>
      <c r="O114" s="39"/>
      <c r="P114" s="38"/>
      <c r="Q114" s="38"/>
      <c r="R114" s="38"/>
      <c r="S114" s="39"/>
      <c r="T114" s="39"/>
      <c r="U114" s="38"/>
      <c r="V114" s="38"/>
      <c r="W114" s="37"/>
      <c r="X114" s="38"/>
      <c r="Y114" s="38"/>
      <c r="Z114" s="37"/>
      <c r="AA114" s="38"/>
      <c r="AB114" s="38"/>
      <c r="AC114" s="40"/>
      <c r="AD114" s="41"/>
      <c r="AE114" s="42" t="str">
        <f aca="false">IF(OR(A114="",NOT(ISNUMBER(AC114)),NOT(ISNUMBER(AD114))),"",IF(AD114&gt;0,AC114/AD114,""))</f>
        <v/>
      </c>
      <c r="AF114" s="42" t="str">
        <f aca="false">IF(OR(A114="",AB114=""),"",IFERROR(INDEX(Arbeitszeitmodelle!$C$5:$C$34,MATCH(AB114,Arbeitszeitmodelle!$A$5:$A$34,0)),""))</f>
        <v/>
      </c>
      <c r="AG114" s="38"/>
      <c r="AH114" s="38"/>
      <c r="AI114" s="38"/>
      <c r="AJ114" s="41"/>
      <c r="AK114" s="41"/>
      <c r="AL114" s="38"/>
      <c r="AM114" s="41"/>
      <c r="AN114" s="38"/>
      <c r="AO114" s="38"/>
      <c r="AP114" s="38"/>
      <c r="AQ114" s="38"/>
      <c r="AR114" s="41"/>
      <c r="AS114" s="40"/>
      <c r="AT114" s="39"/>
      <c r="AU114" s="41"/>
      <c r="AV114" s="43" t="str">
        <f aca="false">IF(OR(A114="",NOT(ISNUMBER(AD114))),"",P_MinUrlaubWerktage/6*AD114)</f>
        <v/>
      </c>
      <c r="AW114" s="43" t="str">
        <f aca="false">IF(A114="","",IF(M114="Ja",P_ZusatzSB*IF(ISNUMBER(AD114),AD114,5)/5,0))</f>
        <v/>
      </c>
      <c r="AX114" s="41"/>
      <c r="AY114" s="39"/>
      <c r="AZ114" s="43" t="str">
        <f aca="false">IF(OR(A114="",NOT(ISNUMBER(AU114))),"",SUM(AU114,AW114,AX114))</f>
        <v/>
      </c>
      <c r="BA114" s="38"/>
      <c r="BB114" s="44"/>
      <c r="BC114" s="44"/>
      <c r="BD114" s="45" t="str">
        <f aca="false">IF(A114="","",IF(BA114="Stundenlohn",IF(ISNUMBER(BC114),BC114,""),IF(AND(ISNUMBER(BB114),ISNUMBER(AC114)),IF(AC114&gt;0,BB114*12/(AC114*52),""),"")))</f>
        <v/>
      </c>
      <c r="BE114" s="46" t="str">
        <f aca="false">IF(OR(A114="",NOT(ISNUMBER(F114))),"",IFERROR(DATEDIF(F114,P_Stichtag,"Y"),""))</f>
        <v/>
      </c>
      <c r="BF114" s="47" t="str">
        <f aca="false">IF(OR(A114="",NOT(ISNUMBER(BE114))),"",IF(BE114&lt;18,"Ja","Nein"))</f>
        <v/>
      </c>
      <c r="BG114" s="48" t="str">
        <f aca="false">IF(A114="","",IF((IF(OR(B114="",C114="",F114="",N114="",Q114="",AB114="",AC114="",AD114="",AU114=""),"Pflichtfelder fehlen; ","")&amp;IF(AND(ISNUMBER(AC114),AC114&gt;P_MaxWoche),"Wochenstunden &gt; Prüfgrenze; ","")&amp;IF(AND(BF114="Ja",ISNUMBER(AC114),AC114&gt;P_MaxWocheJugend),"Jugendlicher &gt; 40 h/Woche; ","")&amp;IF(AND(ISNUMBER(BD114),BD114&lt;P_Mindestlohn,Q114&lt;&gt;"Auszubildende/r",Q114&lt;&gt;"Praktikant/in"),"Mindestlohn unterschritten?; ","")&amp;IF(AND(Q114="Minijob (geringfügig)",ISNUMBER(BB114),BB114&gt;P_Minijob),"Minijob-Grenze überschritten; ","")&amp;IF(AND(R114="Ja",S114=""),"Befristung ohne Enddatum; ","")&amp;IF(AND(ISNUMBER(O114),ISNUMBER(N114),O114&lt;N114),"Austritt vor Eintritt; ","")&amp;IF(AND(ISNUMBER(AU114),ISNUMBER(AV114),AU114&lt;AV114),"Urlaub unter gesetzl. Minimum; ","")&amp;IF(AND(ISNUMBER(AC114),ISNUMBER(AF114),ABS(N(AC114)-N(AF114))&gt;0.01),"Wochenstd. weichen vom Modell ab; ","")&amp;IF(AND(AI114="Ja",OR(AJ114="",AK114="")),"Kontogrenzen fehlen; ","")&amp;IF(AND(AL114="Mit Gehalt abgegolten (Pauschale)",AM114=""),"Überstunden-Pauschale fehlt; ",""))="","OK",IF(OR(B114="",C114="",F114="",N114="",Q114="",AB114="",AC114="",AD114="",AU114=""),"Pflichtfelder fehlen; ","")&amp;IF(AND(ISNUMBER(AC114),AC114&gt;P_MaxWoche),"Wochenstunden &gt; Prüfgrenze; ","")&amp;IF(AND(BF114="Ja",ISNUMBER(AC114),AC114&gt;P_MaxWocheJugend),"Jugendlicher &gt; 40 h/Woche; ","")&amp;IF(AND(ISNUMBER(BD114),BD114&lt;P_Mindestlohn,Q114&lt;&gt;"Auszubildende/r",Q114&lt;&gt;"Praktikant/in"),"Mindestlohn unterschritten?; ","")&amp;IF(AND(Q114="Minijob (geringfügig)",ISNUMBER(BB114),BB114&gt;P_Minijob),"Minijob-Grenze überschritten; ","")&amp;IF(AND(R114="Ja",S114=""),"Befristung ohne Enddatum; ","")&amp;IF(AND(ISNUMBER(O114),ISNUMBER(N114),O114&lt;N114),"Austritt vor Eintritt; ","")&amp;IF(AND(ISNUMBER(AU114),ISNUMBER(AV114),AU114&lt;AV114),"Urlaub unter gesetzl. Minimum; ","")&amp;IF(AND(ISNUMBER(AC114),ISNUMBER(AF114),ABS(N(AC114)-N(AF114))&gt;0.01),"Wochenstd. weichen vom Modell ab; ","")&amp;IF(AND(AI114="Ja",OR(AJ114="",AK114="")),"Kontogrenzen fehlen; ","")&amp;IF(AND(AL114="Mit Gehalt abgegolten (Pauschale)",AM114=""),"Überstunden-Pauschale fehlt; ","")))</f>
        <v/>
      </c>
      <c r="BH114" s="38"/>
    </row>
    <row r="115" customFormat="false" ht="15" hidden="false" customHeight="false" outlineLevel="0" collapsed="false">
      <c r="A115" s="37"/>
      <c r="B115" s="38"/>
      <c r="C115" s="38"/>
      <c r="D115" s="38"/>
      <c r="E115" s="38"/>
      <c r="F115" s="39"/>
      <c r="G115" s="38"/>
      <c r="H115" s="38"/>
      <c r="I115" s="37"/>
      <c r="J115" s="38"/>
      <c r="K115" s="38"/>
      <c r="L115" s="38"/>
      <c r="M115" s="38"/>
      <c r="N115" s="39"/>
      <c r="O115" s="39"/>
      <c r="P115" s="38"/>
      <c r="Q115" s="38"/>
      <c r="R115" s="38"/>
      <c r="S115" s="39"/>
      <c r="T115" s="39"/>
      <c r="U115" s="38"/>
      <c r="V115" s="38"/>
      <c r="W115" s="37"/>
      <c r="X115" s="38"/>
      <c r="Y115" s="38"/>
      <c r="Z115" s="37"/>
      <c r="AA115" s="38"/>
      <c r="AB115" s="38"/>
      <c r="AC115" s="40"/>
      <c r="AD115" s="41"/>
      <c r="AE115" s="42" t="str">
        <f aca="false">IF(OR(A115="",NOT(ISNUMBER(AC115)),NOT(ISNUMBER(AD115))),"",IF(AD115&gt;0,AC115/AD115,""))</f>
        <v/>
      </c>
      <c r="AF115" s="42" t="str">
        <f aca="false">IF(OR(A115="",AB115=""),"",IFERROR(INDEX(Arbeitszeitmodelle!$C$5:$C$34,MATCH(AB115,Arbeitszeitmodelle!$A$5:$A$34,0)),""))</f>
        <v/>
      </c>
      <c r="AG115" s="38"/>
      <c r="AH115" s="38"/>
      <c r="AI115" s="38"/>
      <c r="AJ115" s="41"/>
      <c r="AK115" s="41"/>
      <c r="AL115" s="38"/>
      <c r="AM115" s="41"/>
      <c r="AN115" s="38"/>
      <c r="AO115" s="38"/>
      <c r="AP115" s="38"/>
      <c r="AQ115" s="38"/>
      <c r="AR115" s="41"/>
      <c r="AS115" s="40"/>
      <c r="AT115" s="39"/>
      <c r="AU115" s="41"/>
      <c r="AV115" s="43" t="str">
        <f aca="false">IF(OR(A115="",NOT(ISNUMBER(AD115))),"",P_MinUrlaubWerktage/6*AD115)</f>
        <v/>
      </c>
      <c r="AW115" s="43" t="str">
        <f aca="false">IF(A115="","",IF(M115="Ja",P_ZusatzSB*IF(ISNUMBER(AD115),AD115,5)/5,0))</f>
        <v/>
      </c>
      <c r="AX115" s="41"/>
      <c r="AY115" s="39"/>
      <c r="AZ115" s="43" t="str">
        <f aca="false">IF(OR(A115="",NOT(ISNUMBER(AU115))),"",SUM(AU115,AW115,AX115))</f>
        <v/>
      </c>
      <c r="BA115" s="38"/>
      <c r="BB115" s="44"/>
      <c r="BC115" s="44"/>
      <c r="BD115" s="45" t="str">
        <f aca="false">IF(A115="","",IF(BA115="Stundenlohn",IF(ISNUMBER(BC115),BC115,""),IF(AND(ISNUMBER(BB115),ISNUMBER(AC115)),IF(AC115&gt;0,BB115*12/(AC115*52),""),"")))</f>
        <v/>
      </c>
      <c r="BE115" s="46" t="str">
        <f aca="false">IF(OR(A115="",NOT(ISNUMBER(F115))),"",IFERROR(DATEDIF(F115,P_Stichtag,"Y"),""))</f>
        <v/>
      </c>
      <c r="BF115" s="47" t="str">
        <f aca="false">IF(OR(A115="",NOT(ISNUMBER(BE115))),"",IF(BE115&lt;18,"Ja","Nein"))</f>
        <v/>
      </c>
      <c r="BG115" s="48" t="str">
        <f aca="false">IF(A115="","",IF((IF(OR(B115="",C115="",F115="",N115="",Q115="",AB115="",AC115="",AD115="",AU115=""),"Pflichtfelder fehlen; ","")&amp;IF(AND(ISNUMBER(AC115),AC115&gt;P_MaxWoche),"Wochenstunden &gt; Prüfgrenze; ","")&amp;IF(AND(BF115="Ja",ISNUMBER(AC115),AC115&gt;P_MaxWocheJugend),"Jugendlicher &gt; 40 h/Woche; ","")&amp;IF(AND(ISNUMBER(BD115),BD115&lt;P_Mindestlohn,Q115&lt;&gt;"Auszubildende/r",Q115&lt;&gt;"Praktikant/in"),"Mindestlohn unterschritten?; ","")&amp;IF(AND(Q115="Minijob (geringfügig)",ISNUMBER(BB115),BB115&gt;P_Minijob),"Minijob-Grenze überschritten; ","")&amp;IF(AND(R115="Ja",S115=""),"Befristung ohne Enddatum; ","")&amp;IF(AND(ISNUMBER(O115),ISNUMBER(N115),O115&lt;N115),"Austritt vor Eintritt; ","")&amp;IF(AND(ISNUMBER(AU115),ISNUMBER(AV115),AU115&lt;AV115),"Urlaub unter gesetzl. Minimum; ","")&amp;IF(AND(ISNUMBER(AC115),ISNUMBER(AF115),ABS(N(AC115)-N(AF115))&gt;0.01),"Wochenstd. weichen vom Modell ab; ","")&amp;IF(AND(AI115="Ja",OR(AJ115="",AK115="")),"Kontogrenzen fehlen; ","")&amp;IF(AND(AL115="Mit Gehalt abgegolten (Pauschale)",AM115=""),"Überstunden-Pauschale fehlt; ",""))="","OK",IF(OR(B115="",C115="",F115="",N115="",Q115="",AB115="",AC115="",AD115="",AU115=""),"Pflichtfelder fehlen; ","")&amp;IF(AND(ISNUMBER(AC115),AC115&gt;P_MaxWoche),"Wochenstunden &gt; Prüfgrenze; ","")&amp;IF(AND(BF115="Ja",ISNUMBER(AC115),AC115&gt;P_MaxWocheJugend),"Jugendlicher &gt; 40 h/Woche; ","")&amp;IF(AND(ISNUMBER(BD115),BD115&lt;P_Mindestlohn,Q115&lt;&gt;"Auszubildende/r",Q115&lt;&gt;"Praktikant/in"),"Mindestlohn unterschritten?; ","")&amp;IF(AND(Q115="Minijob (geringfügig)",ISNUMBER(BB115),BB115&gt;P_Minijob),"Minijob-Grenze überschritten; ","")&amp;IF(AND(R115="Ja",S115=""),"Befristung ohne Enddatum; ","")&amp;IF(AND(ISNUMBER(O115),ISNUMBER(N115),O115&lt;N115),"Austritt vor Eintritt; ","")&amp;IF(AND(ISNUMBER(AU115),ISNUMBER(AV115),AU115&lt;AV115),"Urlaub unter gesetzl. Minimum; ","")&amp;IF(AND(ISNUMBER(AC115),ISNUMBER(AF115),ABS(N(AC115)-N(AF115))&gt;0.01),"Wochenstd. weichen vom Modell ab; ","")&amp;IF(AND(AI115="Ja",OR(AJ115="",AK115="")),"Kontogrenzen fehlen; ","")&amp;IF(AND(AL115="Mit Gehalt abgegolten (Pauschale)",AM115=""),"Überstunden-Pauschale fehlt; ","")))</f>
        <v/>
      </c>
      <c r="BH115" s="38"/>
    </row>
    <row r="116" customFormat="false" ht="15" hidden="false" customHeight="false" outlineLevel="0" collapsed="false">
      <c r="A116" s="37"/>
      <c r="B116" s="38"/>
      <c r="C116" s="38"/>
      <c r="D116" s="38"/>
      <c r="E116" s="38"/>
      <c r="F116" s="39"/>
      <c r="G116" s="38"/>
      <c r="H116" s="38"/>
      <c r="I116" s="37"/>
      <c r="J116" s="38"/>
      <c r="K116" s="38"/>
      <c r="L116" s="38"/>
      <c r="M116" s="38"/>
      <c r="N116" s="39"/>
      <c r="O116" s="39"/>
      <c r="P116" s="38"/>
      <c r="Q116" s="38"/>
      <c r="R116" s="38"/>
      <c r="S116" s="39"/>
      <c r="T116" s="39"/>
      <c r="U116" s="38"/>
      <c r="V116" s="38"/>
      <c r="W116" s="37"/>
      <c r="X116" s="38"/>
      <c r="Y116" s="38"/>
      <c r="Z116" s="37"/>
      <c r="AA116" s="38"/>
      <c r="AB116" s="38"/>
      <c r="AC116" s="40"/>
      <c r="AD116" s="41"/>
      <c r="AE116" s="42" t="str">
        <f aca="false">IF(OR(A116="",NOT(ISNUMBER(AC116)),NOT(ISNUMBER(AD116))),"",IF(AD116&gt;0,AC116/AD116,""))</f>
        <v/>
      </c>
      <c r="AF116" s="42" t="str">
        <f aca="false">IF(OR(A116="",AB116=""),"",IFERROR(INDEX(Arbeitszeitmodelle!$C$5:$C$34,MATCH(AB116,Arbeitszeitmodelle!$A$5:$A$34,0)),""))</f>
        <v/>
      </c>
      <c r="AG116" s="38"/>
      <c r="AH116" s="38"/>
      <c r="AI116" s="38"/>
      <c r="AJ116" s="41"/>
      <c r="AK116" s="41"/>
      <c r="AL116" s="38"/>
      <c r="AM116" s="41"/>
      <c r="AN116" s="38"/>
      <c r="AO116" s="38"/>
      <c r="AP116" s="38"/>
      <c r="AQ116" s="38"/>
      <c r="AR116" s="41"/>
      <c r="AS116" s="40"/>
      <c r="AT116" s="39"/>
      <c r="AU116" s="41"/>
      <c r="AV116" s="43" t="str">
        <f aca="false">IF(OR(A116="",NOT(ISNUMBER(AD116))),"",P_MinUrlaubWerktage/6*AD116)</f>
        <v/>
      </c>
      <c r="AW116" s="43" t="str">
        <f aca="false">IF(A116="","",IF(M116="Ja",P_ZusatzSB*IF(ISNUMBER(AD116),AD116,5)/5,0))</f>
        <v/>
      </c>
      <c r="AX116" s="41"/>
      <c r="AY116" s="39"/>
      <c r="AZ116" s="43" t="str">
        <f aca="false">IF(OR(A116="",NOT(ISNUMBER(AU116))),"",SUM(AU116,AW116,AX116))</f>
        <v/>
      </c>
      <c r="BA116" s="38"/>
      <c r="BB116" s="44"/>
      <c r="BC116" s="44"/>
      <c r="BD116" s="45" t="str">
        <f aca="false">IF(A116="","",IF(BA116="Stundenlohn",IF(ISNUMBER(BC116),BC116,""),IF(AND(ISNUMBER(BB116),ISNUMBER(AC116)),IF(AC116&gt;0,BB116*12/(AC116*52),""),"")))</f>
        <v/>
      </c>
      <c r="BE116" s="46" t="str">
        <f aca="false">IF(OR(A116="",NOT(ISNUMBER(F116))),"",IFERROR(DATEDIF(F116,P_Stichtag,"Y"),""))</f>
        <v/>
      </c>
      <c r="BF116" s="47" t="str">
        <f aca="false">IF(OR(A116="",NOT(ISNUMBER(BE116))),"",IF(BE116&lt;18,"Ja","Nein"))</f>
        <v/>
      </c>
      <c r="BG116" s="48" t="str">
        <f aca="false">IF(A116="","",IF((IF(OR(B116="",C116="",F116="",N116="",Q116="",AB116="",AC116="",AD116="",AU116=""),"Pflichtfelder fehlen; ","")&amp;IF(AND(ISNUMBER(AC116),AC116&gt;P_MaxWoche),"Wochenstunden &gt; Prüfgrenze; ","")&amp;IF(AND(BF116="Ja",ISNUMBER(AC116),AC116&gt;P_MaxWocheJugend),"Jugendlicher &gt; 40 h/Woche; ","")&amp;IF(AND(ISNUMBER(BD116),BD116&lt;P_Mindestlohn,Q116&lt;&gt;"Auszubildende/r",Q116&lt;&gt;"Praktikant/in"),"Mindestlohn unterschritten?; ","")&amp;IF(AND(Q116="Minijob (geringfügig)",ISNUMBER(BB116),BB116&gt;P_Minijob),"Minijob-Grenze überschritten; ","")&amp;IF(AND(R116="Ja",S116=""),"Befristung ohne Enddatum; ","")&amp;IF(AND(ISNUMBER(O116),ISNUMBER(N116),O116&lt;N116),"Austritt vor Eintritt; ","")&amp;IF(AND(ISNUMBER(AU116),ISNUMBER(AV116),AU116&lt;AV116),"Urlaub unter gesetzl. Minimum; ","")&amp;IF(AND(ISNUMBER(AC116),ISNUMBER(AF116),ABS(N(AC116)-N(AF116))&gt;0.01),"Wochenstd. weichen vom Modell ab; ","")&amp;IF(AND(AI116="Ja",OR(AJ116="",AK116="")),"Kontogrenzen fehlen; ","")&amp;IF(AND(AL116="Mit Gehalt abgegolten (Pauschale)",AM116=""),"Überstunden-Pauschale fehlt; ",""))="","OK",IF(OR(B116="",C116="",F116="",N116="",Q116="",AB116="",AC116="",AD116="",AU116=""),"Pflichtfelder fehlen; ","")&amp;IF(AND(ISNUMBER(AC116),AC116&gt;P_MaxWoche),"Wochenstunden &gt; Prüfgrenze; ","")&amp;IF(AND(BF116="Ja",ISNUMBER(AC116),AC116&gt;P_MaxWocheJugend),"Jugendlicher &gt; 40 h/Woche; ","")&amp;IF(AND(ISNUMBER(BD116),BD116&lt;P_Mindestlohn,Q116&lt;&gt;"Auszubildende/r",Q116&lt;&gt;"Praktikant/in"),"Mindestlohn unterschritten?; ","")&amp;IF(AND(Q116="Minijob (geringfügig)",ISNUMBER(BB116),BB116&gt;P_Minijob),"Minijob-Grenze überschritten; ","")&amp;IF(AND(R116="Ja",S116=""),"Befristung ohne Enddatum; ","")&amp;IF(AND(ISNUMBER(O116),ISNUMBER(N116),O116&lt;N116),"Austritt vor Eintritt; ","")&amp;IF(AND(ISNUMBER(AU116),ISNUMBER(AV116),AU116&lt;AV116),"Urlaub unter gesetzl. Minimum; ","")&amp;IF(AND(ISNUMBER(AC116),ISNUMBER(AF116),ABS(N(AC116)-N(AF116))&gt;0.01),"Wochenstd. weichen vom Modell ab; ","")&amp;IF(AND(AI116="Ja",OR(AJ116="",AK116="")),"Kontogrenzen fehlen; ","")&amp;IF(AND(AL116="Mit Gehalt abgegolten (Pauschale)",AM116=""),"Überstunden-Pauschale fehlt; ","")))</f>
        <v/>
      </c>
      <c r="BH116" s="38"/>
    </row>
    <row r="117" customFormat="false" ht="15" hidden="false" customHeight="false" outlineLevel="0" collapsed="false">
      <c r="A117" s="37"/>
      <c r="B117" s="38"/>
      <c r="C117" s="38"/>
      <c r="D117" s="38"/>
      <c r="E117" s="38"/>
      <c r="F117" s="39"/>
      <c r="G117" s="38"/>
      <c r="H117" s="38"/>
      <c r="I117" s="37"/>
      <c r="J117" s="38"/>
      <c r="K117" s="38"/>
      <c r="L117" s="38"/>
      <c r="M117" s="38"/>
      <c r="N117" s="39"/>
      <c r="O117" s="39"/>
      <c r="P117" s="38"/>
      <c r="Q117" s="38"/>
      <c r="R117" s="38"/>
      <c r="S117" s="39"/>
      <c r="T117" s="39"/>
      <c r="U117" s="38"/>
      <c r="V117" s="38"/>
      <c r="W117" s="37"/>
      <c r="X117" s="38"/>
      <c r="Y117" s="38"/>
      <c r="Z117" s="37"/>
      <c r="AA117" s="38"/>
      <c r="AB117" s="38"/>
      <c r="AC117" s="40"/>
      <c r="AD117" s="41"/>
      <c r="AE117" s="42" t="str">
        <f aca="false">IF(OR(A117="",NOT(ISNUMBER(AC117)),NOT(ISNUMBER(AD117))),"",IF(AD117&gt;0,AC117/AD117,""))</f>
        <v/>
      </c>
      <c r="AF117" s="42" t="str">
        <f aca="false">IF(OR(A117="",AB117=""),"",IFERROR(INDEX(Arbeitszeitmodelle!$C$5:$C$34,MATCH(AB117,Arbeitszeitmodelle!$A$5:$A$34,0)),""))</f>
        <v/>
      </c>
      <c r="AG117" s="38"/>
      <c r="AH117" s="38"/>
      <c r="AI117" s="38"/>
      <c r="AJ117" s="41"/>
      <c r="AK117" s="41"/>
      <c r="AL117" s="38"/>
      <c r="AM117" s="41"/>
      <c r="AN117" s="38"/>
      <c r="AO117" s="38"/>
      <c r="AP117" s="38"/>
      <c r="AQ117" s="38"/>
      <c r="AR117" s="41"/>
      <c r="AS117" s="40"/>
      <c r="AT117" s="39"/>
      <c r="AU117" s="41"/>
      <c r="AV117" s="43" t="str">
        <f aca="false">IF(OR(A117="",NOT(ISNUMBER(AD117))),"",P_MinUrlaubWerktage/6*AD117)</f>
        <v/>
      </c>
      <c r="AW117" s="43" t="str">
        <f aca="false">IF(A117="","",IF(M117="Ja",P_ZusatzSB*IF(ISNUMBER(AD117),AD117,5)/5,0))</f>
        <v/>
      </c>
      <c r="AX117" s="41"/>
      <c r="AY117" s="39"/>
      <c r="AZ117" s="43" t="str">
        <f aca="false">IF(OR(A117="",NOT(ISNUMBER(AU117))),"",SUM(AU117,AW117,AX117))</f>
        <v/>
      </c>
      <c r="BA117" s="38"/>
      <c r="BB117" s="44"/>
      <c r="BC117" s="44"/>
      <c r="BD117" s="45" t="str">
        <f aca="false">IF(A117="","",IF(BA117="Stundenlohn",IF(ISNUMBER(BC117),BC117,""),IF(AND(ISNUMBER(BB117),ISNUMBER(AC117)),IF(AC117&gt;0,BB117*12/(AC117*52),""),"")))</f>
        <v/>
      </c>
      <c r="BE117" s="46" t="str">
        <f aca="false">IF(OR(A117="",NOT(ISNUMBER(F117))),"",IFERROR(DATEDIF(F117,P_Stichtag,"Y"),""))</f>
        <v/>
      </c>
      <c r="BF117" s="47" t="str">
        <f aca="false">IF(OR(A117="",NOT(ISNUMBER(BE117))),"",IF(BE117&lt;18,"Ja","Nein"))</f>
        <v/>
      </c>
      <c r="BG117" s="48" t="str">
        <f aca="false">IF(A117="","",IF((IF(OR(B117="",C117="",F117="",N117="",Q117="",AB117="",AC117="",AD117="",AU117=""),"Pflichtfelder fehlen; ","")&amp;IF(AND(ISNUMBER(AC117),AC117&gt;P_MaxWoche),"Wochenstunden &gt; Prüfgrenze; ","")&amp;IF(AND(BF117="Ja",ISNUMBER(AC117),AC117&gt;P_MaxWocheJugend),"Jugendlicher &gt; 40 h/Woche; ","")&amp;IF(AND(ISNUMBER(BD117),BD117&lt;P_Mindestlohn,Q117&lt;&gt;"Auszubildende/r",Q117&lt;&gt;"Praktikant/in"),"Mindestlohn unterschritten?; ","")&amp;IF(AND(Q117="Minijob (geringfügig)",ISNUMBER(BB117),BB117&gt;P_Minijob),"Minijob-Grenze überschritten; ","")&amp;IF(AND(R117="Ja",S117=""),"Befristung ohne Enddatum; ","")&amp;IF(AND(ISNUMBER(O117),ISNUMBER(N117),O117&lt;N117),"Austritt vor Eintritt; ","")&amp;IF(AND(ISNUMBER(AU117),ISNUMBER(AV117),AU117&lt;AV117),"Urlaub unter gesetzl. Minimum; ","")&amp;IF(AND(ISNUMBER(AC117),ISNUMBER(AF117),ABS(N(AC117)-N(AF117))&gt;0.01),"Wochenstd. weichen vom Modell ab; ","")&amp;IF(AND(AI117="Ja",OR(AJ117="",AK117="")),"Kontogrenzen fehlen; ","")&amp;IF(AND(AL117="Mit Gehalt abgegolten (Pauschale)",AM117=""),"Überstunden-Pauschale fehlt; ",""))="","OK",IF(OR(B117="",C117="",F117="",N117="",Q117="",AB117="",AC117="",AD117="",AU117=""),"Pflichtfelder fehlen; ","")&amp;IF(AND(ISNUMBER(AC117),AC117&gt;P_MaxWoche),"Wochenstunden &gt; Prüfgrenze; ","")&amp;IF(AND(BF117="Ja",ISNUMBER(AC117),AC117&gt;P_MaxWocheJugend),"Jugendlicher &gt; 40 h/Woche; ","")&amp;IF(AND(ISNUMBER(BD117),BD117&lt;P_Mindestlohn,Q117&lt;&gt;"Auszubildende/r",Q117&lt;&gt;"Praktikant/in"),"Mindestlohn unterschritten?; ","")&amp;IF(AND(Q117="Minijob (geringfügig)",ISNUMBER(BB117),BB117&gt;P_Minijob),"Minijob-Grenze überschritten; ","")&amp;IF(AND(R117="Ja",S117=""),"Befristung ohne Enddatum; ","")&amp;IF(AND(ISNUMBER(O117),ISNUMBER(N117),O117&lt;N117),"Austritt vor Eintritt; ","")&amp;IF(AND(ISNUMBER(AU117),ISNUMBER(AV117),AU117&lt;AV117),"Urlaub unter gesetzl. Minimum; ","")&amp;IF(AND(ISNUMBER(AC117),ISNUMBER(AF117),ABS(N(AC117)-N(AF117))&gt;0.01),"Wochenstd. weichen vom Modell ab; ","")&amp;IF(AND(AI117="Ja",OR(AJ117="",AK117="")),"Kontogrenzen fehlen; ","")&amp;IF(AND(AL117="Mit Gehalt abgegolten (Pauschale)",AM117=""),"Überstunden-Pauschale fehlt; ","")))</f>
        <v/>
      </c>
      <c r="BH117" s="38"/>
    </row>
    <row r="118" customFormat="false" ht="15" hidden="false" customHeight="false" outlineLevel="0" collapsed="false">
      <c r="A118" s="37"/>
      <c r="B118" s="38"/>
      <c r="C118" s="38"/>
      <c r="D118" s="38"/>
      <c r="E118" s="38"/>
      <c r="F118" s="39"/>
      <c r="G118" s="38"/>
      <c r="H118" s="38"/>
      <c r="I118" s="37"/>
      <c r="J118" s="38"/>
      <c r="K118" s="38"/>
      <c r="L118" s="38"/>
      <c r="M118" s="38"/>
      <c r="N118" s="39"/>
      <c r="O118" s="39"/>
      <c r="P118" s="38"/>
      <c r="Q118" s="38"/>
      <c r="R118" s="38"/>
      <c r="S118" s="39"/>
      <c r="T118" s="39"/>
      <c r="U118" s="38"/>
      <c r="V118" s="38"/>
      <c r="W118" s="37"/>
      <c r="X118" s="38"/>
      <c r="Y118" s="38"/>
      <c r="Z118" s="37"/>
      <c r="AA118" s="38"/>
      <c r="AB118" s="38"/>
      <c r="AC118" s="40"/>
      <c r="AD118" s="41"/>
      <c r="AE118" s="42" t="str">
        <f aca="false">IF(OR(A118="",NOT(ISNUMBER(AC118)),NOT(ISNUMBER(AD118))),"",IF(AD118&gt;0,AC118/AD118,""))</f>
        <v/>
      </c>
      <c r="AF118" s="42" t="str">
        <f aca="false">IF(OR(A118="",AB118=""),"",IFERROR(INDEX(Arbeitszeitmodelle!$C$5:$C$34,MATCH(AB118,Arbeitszeitmodelle!$A$5:$A$34,0)),""))</f>
        <v/>
      </c>
      <c r="AG118" s="38"/>
      <c r="AH118" s="38"/>
      <c r="AI118" s="38"/>
      <c r="AJ118" s="41"/>
      <c r="AK118" s="41"/>
      <c r="AL118" s="38"/>
      <c r="AM118" s="41"/>
      <c r="AN118" s="38"/>
      <c r="AO118" s="38"/>
      <c r="AP118" s="38"/>
      <c r="AQ118" s="38"/>
      <c r="AR118" s="41"/>
      <c r="AS118" s="40"/>
      <c r="AT118" s="39"/>
      <c r="AU118" s="41"/>
      <c r="AV118" s="43" t="str">
        <f aca="false">IF(OR(A118="",NOT(ISNUMBER(AD118))),"",P_MinUrlaubWerktage/6*AD118)</f>
        <v/>
      </c>
      <c r="AW118" s="43" t="str">
        <f aca="false">IF(A118="","",IF(M118="Ja",P_ZusatzSB*IF(ISNUMBER(AD118),AD118,5)/5,0))</f>
        <v/>
      </c>
      <c r="AX118" s="41"/>
      <c r="AY118" s="39"/>
      <c r="AZ118" s="43" t="str">
        <f aca="false">IF(OR(A118="",NOT(ISNUMBER(AU118))),"",SUM(AU118,AW118,AX118))</f>
        <v/>
      </c>
      <c r="BA118" s="38"/>
      <c r="BB118" s="44"/>
      <c r="BC118" s="44"/>
      <c r="BD118" s="45" t="str">
        <f aca="false">IF(A118="","",IF(BA118="Stundenlohn",IF(ISNUMBER(BC118),BC118,""),IF(AND(ISNUMBER(BB118),ISNUMBER(AC118)),IF(AC118&gt;0,BB118*12/(AC118*52),""),"")))</f>
        <v/>
      </c>
      <c r="BE118" s="46" t="str">
        <f aca="false">IF(OR(A118="",NOT(ISNUMBER(F118))),"",IFERROR(DATEDIF(F118,P_Stichtag,"Y"),""))</f>
        <v/>
      </c>
      <c r="BF118" s="47" t="str">
        <f aca="false">IF(OR(A118="",NOT(ISNUMBER(BE118))),"",IF(BE118&lt;18,"Ja","Nein"))</f>
        <v/>
      </c>
      <c r="BG118" s="48" t="str">
        <f aca="false">IF(A118="","",IF((IF(OR(B118="",C118="",F118="",N118="",Q118="",AB118="",AC118="",AD118="",AU118=""),"Pflichtfelder fehlen; ","")&amp;IF(AND(ISNUMBER(AC118),AC118&gt;P_MaxWoche),"Wochenstunden &gt; Prüfgrenze; ","")&amp;IF(AND(BF118="Ja",ISNUMBER(AC118),AC118&gt;P_MaxWocheJugend),"Jugendlicher &gt; 40 h/Woche; ","")&amp;IF(AND(ISNUMBER(BD118),BD118&lt;P_Mindestlohn,Q118&lt;&gt;"Auszubildende/r",Q118&lt;&gt;"Praktikant/in"),"Mindestlohn unterschritten?; ","")&amp;IF(AND(Q118="Minijob (geringfügig)",ISNUMBER(BB118),BB118&gt;P_Minijob),"Minijob-Grenze überschritten; ","")&amp;IF(AND(R118="Ja",S118=""),"Befristung ohne Enddatum; ","")&amp;IF(AND(ISNUMBER(O118),ISNUMBER(N118),O118&lt;N118),"Austritt vor Eintritt; ","")&amp;IF(AND(ISNUMBER(AU118),ISNUMBER(AV118),AU118&lt;AV118),"Urlaub unter gesetzl. Minimum; ","")&amp;IF(AND(ISNUMBER(AC118),ISNUMBER(AF118),ABS(N(AC118)-N(AF118))&gt;0.01),"Wochenstd. weichen vom Modell ab; ","")&amp;IF(AND(AI118="Ja",OR(AJ118="",AK118="")),"Kontogrenzen fehlen; ","")&amp;IF(AND(AL118="Mit Gehalt abgegolten (Pauschale)",AM118=""),"Überstunden-Pauschale fehlt; ",""))="","OK",IF(OR(B118="",C118="",F118="",N118="",Q118="",AB118="",AC118="",AD118="",AU118=""),"Pflichtfelder fehlen; ","")&amp;IF(AND(ISNUMBER(AC118),AC118&gt;P_MaxWoche),"Wochenstunden &gt; Prüfgrenze; ","")&amp;IF(AND(BF118="Ja",ISNUMBER(AC118),AC118&gt;P_MaxWocheJugend),"Jugendlicher &gt; 40 h/Woche; ","")&amp;IF(AND(ISNUMBER(BD118),BD118&lt;P_Mindestlohn,Q118&lt;&gt;"Auszubildende/r",Q118&lt;&gt;"Praktikant/in"),"Mindestlohn unterschritten?; ","")&amp;IF(AND(Q118="Minijob (geringfügig)",ISNUMBER(BB118),BB118&gt;P_Minijob),"Minijob-Grenze überschritten; ","")&amp;IF(AND(R118="Ja",S118=""),"Befristung ohne Enddatum; ","")&amp;IF(AND(ISNUMBER(O118),ISNUMBER(N118),O118&lt;N118),"Austritt vor Eintritt; ","")&amp;IF(AND(ISNUMBER(AU118),ISNUMBER(AV118),AU118&lt;AV118),"Urlaub unter gesetzl. Minimum; ","")&amp;IF(AND(ISNUMBER(AC118),ISNUMBER(AF118),ABS(N(AC118)-N(AF118))&gt;0.01),"Wochenstd. weichen vom Modell ab; ","")&amp;IF(AND(AI118="Ja",OR(AJ118="",AK118="")),"Kontogrenzen fehlen; ","")&amp;IF(AND(AL118="Mit Gehalt abgegolten (Pauschale)",AM118=""),"Überstunden-Pauschale fehlt; ","")))</f>
        <v/>
      </c>
      <c r="BH118" s="38"/>
    </row>
    <row r="119" customFormat="false" ht="15" hidden="false" customHeight="false" outlineLevel="0" collapsed="false">
      <c r="A119" s="37"/>
      <c r="B119" s="38"/>
      <c r="C119" s="38"/>
      <c r="D119" s="38"/>
      <c r="E119" s="38"/>
      <c r="F119" s="39"/>
      <c r="G119" s="38"/>
      <c r="H119" s="38"/>
      <c r="I119" s="37"/>
      <c r="J119" s="38"/>
      <c r="K119" s="38"/>
      <c r="L119" s="38"/>
      <c r="M119" s="38"/>
      <c r="N119" s="39"/>
      <c r="O119" s="39"/>
      <c r="P119" s="38"/>
      <c r="Q119" s="38"/>
      <c r="R119" s="38"/>
      <c r="S119" s="39"/>
      <c r="T119" s="39"/>
      <c r="U119" s="38"/>
      <c r="V119" s="38"/>
      <c r="W119" s="37"/>
      <c r="X119" s="38"/>
      <c r="Y119" s="38"/>
      <c r="Z119" s="37"/>
      <c r="AA119" s="38"/>
      <c r="AB119" s="38"/>
      <c r="AC119" s="40"/>
      <c r="AD119" s="41"/>
      <c r="AE119" s="42" t="str">
        <f aca="false">IF(OR(A119="",NOT(ISNUMBER(AC119)),NOT(ISNUMBER(AD119))),"",IF(AD119&gt;0,AC119/AD119,""))</f>
        <v/>
      </c>
      <c r="AF119" s="42" t="str">
        <f aca="false">IF(OR(A119="",AB119=""),"",IFERROR(INDEX(Arbeitszeitmodelle!$C$5:$C$34,MATCH(AB119,Arbeitszeitmodelle!$A$5:$A$34,0)),""))</f>
        <v/>
      </c>
      <c r="AG119" s="38"/>
      <c r="AH119" s="38"/>
      <c r="AI119" s="38"/>
      <c r="AJ119" s="41"/>
      <c r="AK119" s="41"/>
      <c r="AL119" s="38"/>
      <c r="AM119" s="41"/>
      <c r="AN119" s="38"/>
      <c r="AO119" s="38"/>
      <c r="AP119" s="38"/>
      <c r="AQ119" s="38"/>
      <c r="AR119" s="41"/>
      <c r="AS119" s="40"/>
      <c r="AT119" s="39"/>
      <c r="AU119" s="41"/>
      <c r="AV119" s="43" t="str">
        <f aca="false">IF(OR(A119="",NOT(ISNUMBER(AD119))),"",P_MinUrlaubWerktage/6*AD119)</f>
        <v/>
      </c>
      <c r="AW119" s="43" t="str">
        <f aca="false">IF(A119="","",IF(M119="Ja",P_ZusatzSB*IF(ISNUMBER(AD119),AD119,5)/5,0))</f>
        <v/>
      </c>
      <c r="AX119" s="41"/>
      <c r="AY119" s="39"/>
      <c r="AZ119" s="43" t="str">
        <f aca="false">IF(OR(A119="",NOT(ISNUMBER(AU119))),"",SUM(AU119,AW119,AX119))</f>
        <v/>
      </c>
      <c r="BA119" s="38"/>
      <c r="BB119" s="44"/>
      <c r="BC119" s="44"/>
      <c r="BD119" s="45" t="str">
        <f aca="false">IF(A119="","",IF(BA119="Stundenlohn",IF(ISNUMBER(BC119),BC119,""),IF(AND(ISNUMBER(BB119),ISNUMBER(AC119)),IF(AC119&gt;0,BB119*12/(AC119*52),""),"")))</f>
        <v/>
      </c>
      <c r="BE119" s="46" t="str">
        <f aca="false">IF(OR(A119="",NOT(ISNUMBER(F119))),"",IFERROR(DATEDIF(F119,P_Stichtag,"Y"),""))</f>
        <v/>
      </c>
      <c r="BF119" s="47" t="str">
        <f aca="false">IF(OR(A119="",NOT(ISNUMBER(BE119))),"",IF(BE119&lt;18,"Ja","Nein"))</f>
        <v/>
      </c>
      <c r="BG119" s="48" t="str">
        <f aca="false">IF(A119="","",IF((IF(OR(B119="",C119="",F119="",N119="",Q119="",AB119="",AC119="",AD119="",AU119=""),"Pflichtfelder fehlen; ","")&amp;IF(AND(ISNUMBER(AC119),AC119&gt;P_MaxWoche),"Wochenstunden &gt; Prüfgrenze; ","")&amp;IF(AND(BF119="Ja",ISNUMBER(AC119),AC119&gt;P_MaxWocheJugend),"Jugendlicher &gt; 40 h/Woche; ","")&amp;IF(AND(ISNUMBER(BD119),BD119&lt;P_Mindestlohn,Q119&lt;&gt;"Auszubildende/r",Q119&lt;&gt;"Praktikant/in"),"Mindestlohn unterschritten?; ","")&amp;IF(AND(Q119="Minijob (geringfügig)",ISNUMBER(BB119),BB119&gt;P_Minijob),"Minijob-Grenze überschritten; ","")&amp;IF(AND(R119="Ja",S119=""),"Befristung ohne Enddatum; ","")&amp;IF(AND(ISNUMBER(O119),ISNUMBER(N119),O119&lt;N119),"Austritt vor Eintritt; ","")&amp;IF(AND(ISNUMBER(AU119),ISNUMBER(AV119),AU119&lt;AV119),"Urlaub unter gesetzl. Minimum; ","")&amp;IF(AND(ISNUMBER(AC119),ISNUMBER(AF119),ABS(N(AC119)-N(AF119))&gt;0.01),"Wochenstd. weichen vom Modell ab; ","")&amp;IF(AND(AI119="Ja",OR(AJ119="",AK119="")),"Kontogrenzen fehlen; ","")&amp;IF(AND(AL119="Mit Gehalt abgegolten (Pauschale)",AM119=""),"Überstunden-Pauschale fehlt; ",""))="","OK",IF(OR(B119="",C119="",F119="",N119="",Q119="",AB119="",AC119="",AD119="",AU119=""),"Pflichtfelder fehlen; ","")&amp;IF(AND(ISNUMBER(AC119),AC119&gt;P_MaxWoche),"Wochenstunden &gt; Prüfgrenze; ","")&amp;IF(AND(BF119="Ja",ISNUMBER(AC119),AC119&gt;P_MaxWocheJugend),"Jugendlicher &gt; 40 h/Woche; ","")&amp;IF(AND(ISNUMBER(BD119),BD119&lt;P_Mindestlohn,Q119&lt;&gt;"Auszubildende/r",Q119&lt;&gt;"Praktikant/in"),"Mindestlohn unterschritten?; ","")&amp;IF(AND(Q119="Minijob (geringfügig)",ISNUMBER(BB119),BB119&gt;P_Minijob),"Minijob-Grenze überschritten; ","")&amp;IF(AND(R119="Ja",S119=""),"Befristung ohne Enddatum; ","")&amp;IF(AND(ISNUMBER(O119),ISNUMBER(N119),O119&lt;N119),"Austritt vor Eintritt; ","")&amp;IF(AND(ISNUMBER(AU119),ISNUMBER(AV119),AU119&lt;AV119),"Urlaub unter gesetzl. Minimum; ","")&amp;IF(AND(ISNUMBER(AC119),ISNUMBER(AF119),ABS(N(AC119)-N(AF119))&gt;0.01),"Wochenstd. weichen vom Modell ab; ","")&amp;IF(AND(AI119="Ja",OR(AJ119="",AK119="")),"Kontogrenzen fehlen; ","")&amp;IF(AND(AL119="Mit Gehalt abgegolten (Pauschale)",AM119=""),"Überstunden-Pauschale fehlt; ","")))</f>
        <v/>
      </c>
      <c r="BH119" s="38"/>
    </row>
    <row r="120" customFormat="false" ht="15" hidden="false" customHeight="false" outlineLevel="0" collapsed="false">
      <c r="A120" s="37"/>
      <c r="B120" s="38"/>
      <c r="C120" s="38"/>
      <c r="D120" s="38"/>
      <c r="E120" s="38"/>
      <c r="F120" s="39"/>
      <c r="G120" s="38"/>
      <c r="H120" s="38"/>
      <c r="I120" s="37"/>
      <c r="J120" s="38"/>
      <c r="K120" s="38"/>
      <c r="L120" s="38"/>
      <c r="M120" s="38"/>
      <c r="N120" s="39"/>
      <c r="O120" s="39"/>
      <c r="P120" s="38"/>
      <c r="Q120" s="38"/>
      <c r="R120" s="38"/>
      <c r="S120" s="39"/>
      <c r="T120" s="39"/>
      <c r="U120" s="38"/>
      <c r="V120" s="38"/>
      <c r="W120" s="37"/>
      <c r="X120" s="38"/>
      <c r="Y120" s="38"/>
      <c r="Z120" s="37"/>
      <c r="AA120" s="38"/>
      <c r="AB120" s="38"/>
      <c r="AC120" s="40"/>
      <c r="AD120" s="41"/>
      <c r="AE120" s="42" t="str">
        <f aca="false">IF(OR(A120="",NOT(ISNUMBER(AC120)),NOT(ISNUMBER(AD120))),"",IF(AD120&gt;0,AC120/AD120,""))</f>
        <v/>
      </c>
      <c r="AF120" s="42" t="str">
        <f aca="false">IF(OR(A120="",AB120=""),"",IFERROR(INDEX(Arbeitszeitmodelle!$C$5:$C$34,MATCH(AB120,Arbeitszeitmodelle!$A$5:$A$34,0)),""))</f>
        <v/>
      </c>
      <c r="AG120" s="38"/>
      <c r="AH120" s="38"/>
      <c r="AI120" s="38"/>
      <c r="AJ120" s="41"/>
      <c r="AK120" s="41"/>
      <c r="AL120" s="38"/>
      <c r="AM120" s="41"/>
      <c r="AN120" s="38"/>
      <c r="AO120" s="38"/>
      <c r="AP120" s="38"/>
      <c r="AQ120" s="38"/>
      <c r="AR120" s="41"/>
      <c r="AS120" s="40"/>
      <c r="AT120" s="39"/>
      <c r="AU120" s="41"/>
      <c r="AV120" s="43" t="str">
        <f aca="false">IF(OR(A120="",NOT(ISNUMBER(AD120))),"",P_MinUrlaubWerktage/6*AD120)</f>
        <v/>
      </c>
      <c r="AW120" s="43" t="str">
        <f aca="false">IF(A120="","",IF(M120="Ja",P_ZusatzSB*IF(ISNUMBER(AD120),AD120,5)/5,0))</f>
        <v/>
      </c>
      <c r="AX120" s="41"/>
      <c r="AY120" s="39"/>
      <c r="AZ120" s="43" t="str">
        <f aca="false">IF(OR(A120="",NOT(ISNUMBER(AU120))),"",SUM(AU120,AW120,AX120))</f>
        <v/>
      </c>
      <c r="BA120" s="38"/>
      <c r="BB120" s="44"/>
      <c r="BC120" s="44"/>
      <c r="BD120" s="45" t="str">
        <f aca="false">IF(A120="","",IF(BA120="Stundenlohn",IF(ISNUMBER(BC120),BC120,""),IF(AND(ISNUMBER(BB120),ISNUMBER(AC120)),IF(AC120&gt;0,BB120*12/(AC120*52),""),"")))</f>
        <v/>
      </c>
      <c r="BE120" s="46" t="str">
        <f aca="false">IF(OR(A120="",NOT(ISNUMBER(F120))),"",IFERROR(DATEDIF(F120,P_Stichtag,"Y"),""))</f>
        <v/>
      </c>
      <c r="BF120" s="47" t="str">
        <f aca="false">IF(OR(A120="",NOT(ISNUMBER(BE120))),"",IF(BE120&lt;18,"Ja","Nein"))</f>
        <v/>
      </c>
      <c r="BG120" s="48" t="str">
        <f aca="false">IF(A120="","",IF((IF(OR(B120="",C120="",F120="",N120="",Q120="",AB120="",AC120="",AD120="",AU120=""),"Pflichtfelder fehlen; ","")&amp;IF(AND(ISNUMBER(AC120),AC120&gt;P_MaxWoche),"Wochenstunden &gt; Prüfgrenze; ","")&amp;IF(AND(BF120="Ja",ISNUMBER(AC120),AC120&gt;P_MaxWocheJugend),"Jugendlicher &gt; 40 h/Woche; ","")&amp;IF(AND(ISNUMBER(BD120),BD120&lt;P_Mindestlohn,Q120&lt;&gt;"Auszubildende/r",Q120&lt;&gt;"Praktikant/in"),"Mindestlohn unterschritten?; ","")&amp;IF(AND(Q120="Minijob (geringfügig)",ISNUMBER(BB120),BB120&gt;P_Minijob),"Minijob-Grenze überschritten; ","")&amp;IF(AND(R120="Ja",S120=""),"Befristung ohne Enddatum; ","")&amp;IF(AND(ISNUMBER(O120),ISNUMBER(N120),O120&lt;N120),"Austritt vor Eintritt; ","")&amp;IF(AND(ISNUMBER(AU120),ISNUMBER(AV120),AU120&lt;AV120),"Urlaub unter gesetzl. Minimum; ","")&amp;IF(AND(ISNUMBER(AC120),ISNUMBER(AF120),ABS(N(AC120)-N(AF120))&gt;0.01),"Wochenstd. weichen vom Modell ab; ","")&amp;IF(AND(AI120="Ja",OR(AJ120="",AK120="")),"Kontogrenzen fehlen; ","")&amp;IF(AND(AL120="Mit Gehalt abgegolten (Pauschale)",AM120=""),"Überstunden-Pauschale fehlt; ",""))="","OK",IF(OR(B120="",C120="",F120="",N120="",Q120="",AB120="",AC120="",AD120="",AU120=""),"Pflichtfelder fehlen; ","")&amp;IF(AND(ISNUMBER(AC120),AC120&gt;P_MaxWoche),"Wochenstunden &gt; Prüfgrenze; ","")&amp;IF(AND(BF120="Ja",ISNUMBER(AC120),AC120&gt;P_MaxWocheJugend),"Jugendlicher &gt; 40 h/Woche; ","")&amp;IF(AND(ISNUMBER(BD120),BD120&lt;P_Mindestlohn,Q120&lt;&gt;"Auszubildende/r",Q120&lt;&gt;"Praktikant/in"),"Mindestlohn unterschritten?; ","")&amp;IF(AND(Q120="Minijob (geringfügig)",ISNUMBER(BB120),BB120&gt;P_Minijob),"Minijob-Grenze überschritten; ","")&amp;IF(AND(R120="Ja",S120=""),"Befristung ohne Enddatum; ","")&amp;IF(AND(ISNUMBER(O120),ISNUMBER(N120),O120&lt;N120),"Austritt vor Eintritt; ","")&amp;IF(AND(ISNUMBER(AU120),ISNUMBER(AV120),AU120&lt;AV120),"Urlaub unter gesetzl. Minimum; ","")&amp;IF(AND(ISNUMBER(AC120),ISNUMBER(AF120),ABS(N(AC120)-N(AF120))&gt;0.01),"Wochenstd. weichen vom Modell ab; ","")&amp;IF(AND(AI120="Ja",OR(AJ120="",AK120="")),"Kontogrenzen fehlen; ","")&amp;IF(AND(AL120="Mit Gehalt abgegolten (Pauschale)",AM120=""),"Überstunden-Pauschale fehlt; ","")))</f>
        <v/>
      </c>
      <c r="BH120" s="38"/>
    </row>
    <row r="121" customFormat="false" ht="15" hidden="false" customHeight="false" outlineLevel="0" collapsed="false">
      <c r="A121" s="37"/>
      <c r="B121" s="38"/>
      <c r="C121" s="38"/>
      <c r="D121" s="38"/>
      <c r="E121" s="38"/>
      <c r="F121" s="39"/>
      <c r="G121" s="38"/>
      <c r="H121" s="38"/>
      <c r="I121" s="37"/>
      <c r="J121" s="38"/>
      <c r="K121" s="38"/>
      <c r="L121" s="38"/>
      <c r="M121" s="38"/>
      <c r="N121" s="39"/>
      <c r="O121" s="39"/>
      <c r="P121" s="38"/>
      <c r="Q121" s="38"/>
      <c r="R121" s="38"/>
      <c r="S121" s="39"/>
      <c r="T121" s="39"/>
      <c r="U121" s="38"/>
      <c r="V121" s="38"/>
      <c r="W121" s="37"/>
      <c r="X121" s="38"/>
      <c r="Y121" s="38"/>
      <c r="Z121" s="37"/>
      <c r="AA121" s="38"/>
      <c r="AB121" s="38"/>
      <c r="AC121" s="40"/>
      <c r="AD121" s="41"/>
      <c r="AE121" s="42" t="str">
        <f aca="false">IF(OR(A121="",NOT(ISNUMBER(AC121)),NOT(ISNUMBER(AD121))),"",IF(AD121&gt;0,AC121/AD121,""))</f>
        <v/>
      </c>
      <c r="AF121" s="42" t="str">
        <f aca="false">IF(OR(A121="",AB121=""),"",IFERROR(INDEX(Arbeitszeitmodelle!$C$5:$C$34,MATCH(AB121,Arbeitszeitmodelle!$A$5:$A$34,0)),""))</f>
        <v/>
      </c>
      <c r="AG121" s="38"/>
      <c r="AH121" s="38"/>
      <c r="AI121" s="38"/>
      <c r="AJ121" s="41"/>
      <c r="AK121" s="41"/>
      <c r="AL121" s="38"/>
      <c r="AM121" s="41"/>
      <c r="AN121" s="38"/>
      <c r="AO121" s="38"/>
      <c r="AP121" s="38"/>
      <c r="AQ121" s="38"/>
      <c r="AR121" s="41"/>
      <c r="AS121" s="40"/>
      <c r="AT121" s="39"/>
      <c r="AU121" s="41"/>
      <c r="AV121" s="43" t="str">
        <f aca="false">IF(OR(A121="",NOT(ISNUMBER(AD121))),"",P_MinUrlaubWerktage/6*AD121)</f>
        <v/>
      </c>
      <c r="AW121" s="43" t="str">
        <f aca="false">IF(A121="","",IF(M121="Ja",P_ZusatzSB*IF(ISNUMBER(AD121),AD121,5)/5,0))</f>
        <v/>
      </c>
      <c r="AX121" s="41"/>
      <c r="AY121" s="39"/>
      <c r="AZ121" s="43" t="str">
        <f aca="false">IF(OR(A121="",NOT(ISNUMBER(AU121))),"",SUM(AU121,AW121,AX121))</f>
        <v/>
      </c>
      <c r="BA121" s="38"/>
      <c r="BB121" s="44"/>
      <c r="BC121" s="44"/>
      <c r="BD121" s="45" t="str">
        <f aca="false">IF(A121="","",IF(BA121="Stundenlohn",IF(ISNUMBER(BC121),BC121,""),IF(AND(ISNUMBER(BB121),ISNUMBER(AC121)),IF(AC121&gt;0,BB121*12/(AC121*52),""),"")))</f>
        <v/>
      </c>
      <c r="BE121" s="46" t="str">
        <f aca="false">IF(OR(A121="",NOT(ISNUMBER(F121))),"",IFERROR(DATEDIF(F121,P_Stichtag,"Y"),""))</f>
        <v/>
      </c>
      <c r="BF121" s="47" t="str">
        <f aca="false">IF(OR(A121="",NOT(ISNUMBER(BE121))),"",IF(BE121&lt;18,"Ja","Nein"))</f>
        <v/>
      </c>
      <c r="BG121" s="48" t="str">
        <f aca="false">IF(A121="","",IF((IF(OR(B121="",C121="",F121="",N121="",Q121="",AB121="",AC121="",AD121="",AU121=""),"Pflichtfelder fehlen; ","")&amp;IF(AND(ISNUMBER(AC121),AC121&gt;P_MaxWoche),"Wochenstunden &gt; Prüfgrenze; ","")&amp;IF(AND(BF121="Ja",ISNUMBER(AC121),AC121&gt;P_MaxWocheJugend),"Jugendlicher &gt; 40 h/Woche; ","")&amp;IF(AND(ISNUMBER(BD121),BD121&lt;P_Mindestlohn,Q121&lt;&gt;"Auszubildende/r",Q121&lt;&gt;"Praktikant/in"),"Mindestlohn unterschritten?; ","")&amp;IF(AND(Q121="Minijob (geringfügig)",ISNUMBER(BB121),BB121&gt;P_Minijob),"Minijob-Grenze überschritten; ","")&amp;IF(AND(R121="Ja",S121=""),"Befristung ohne Enddatum; ","")&amp;IF(AND(ISNUMBER(O121),ISNUMBER(N121),O121&lt;N121),"Austritt vor Eintritt; ","")&amp;IF(AND(ISNUMBER(AU121),ISNUMBER(AV121),AU121&lt;AV121),"Urlaub unter gesetzl. Minimum; ","")&amp;IF(AND(ISNUMBER(AC121),ISNUMBER(AF121),ABS(N(AC121)-N(AF121))&gt;0.01),"Wochenstd. weichen vom Modell ab; ","")&amp;IF(AND(AI121="Ja",OR(AJ121="",AK121="")),"Kontogrenzen fehlen; ","")&amp;IF(AND(AL121="Mit Gehalt abgegolten (Pauschale)",AM121=""),"Überstunden-Pauschale fehlt; ",""))="","OK",IF(OR(B121="",C121="",F121="",N121="",Q121="",AB121="",AC121="",AD121="",AU121=""),"Pflichtfelder fehlen; ","")&amp;IF(AND(ISNUMBER(AC121),AC121&gt;P_MaxWoche),"Wochenstunden &gt; Prüfgrenze; ","")&amp;IF(AND(BF121="Ja",ISNUMBER(AC121),AC121&gt;P_MaxWocheJugend),"Jugendlicher &gt; 40 h/Woche; ","")&amp;IF(AND(ISNUMBER(BD121),BD121&lt;P_Mindestlohn,Q121&lt;&gt;"Auszubildende/r",Q121&lt;&gt;"Praktikant/in"),"Mindestlohn unterschritten?; ","")&amp;IF(AND(Q121="Minijob (geringfügig)",ISNUMBER(BB121),BB121&gt;P_Minijob),"Minijob-Grenze überschritten; ","")&amp;IF(AND(R121="Ja",S121=""),"Befristung ohne Enddatum; ","")&amp;IF(AND(ISNUMBER(O121),ISNUMBER(N121),O121&lt;N121),"Austritt vor Eintritt; ","")&amp;IF(AND(ISNUMBER(AU121),ISNUMBER(AV121),AU121&lt;AV121),"Urlaub unter gesetzl. Minimum; ","")&amp;IF(AND(ISNUMBER(AC121),ISNUMBER(AF121),ABS(N(AC121)-N(AF121))&gt;0.01),"Wochenstd. weichen vom Modell ab; ","")&amp;IF(AND(AI121="Ja",OR(AJ121="",AK121="")),"Kontogrenzen fehlen; ","")&amp;IF(AND(AL121="Mit Gehalt abgegolten (Pauschale)",AM121=""),"Überstunden-Pauschale fehlt; ","")))</f>
        <v/>
      </c>
      <c r="BH121" s="38"/>
    </row>
    <row r="122" customFormat="false" ht="15" hidden="false" customHeight="false" outlineLevel="0" collapsed="false">
      <c r="A122" s="37"/>
      <c r="B122" s="38"/>
      <c r="C122" s="38"/>
      <c r="D122" s="38"/>
      <c r="E122" s="38"/>
      <c r="F122" s="39"/>
      <c r="G122" s="38"/>
      <c r="H122" s="38"/>
      <c r="I122" s="37"/>
      <c r="J122" s="38"/>
      <c r="K122" s="38"/>
      <c r="L122" s="38"/>
      <c r="M122" s="38"/>
      <c r="N122" s="39"/>
      <c r="O122" s="39"/>
      <c r="P122" s="38"/>
      <c r="Q122" s="38"/>
      <c r="R122" s="38"/>
      <c r="S122" s="39"/>
      <c r="T122" s="39"/>
      <c r="U122" s="38"/>
      <c r="V122" s="38"/>
      <c r="W122" s="37"/>
      <c r="X122" s="38"/>
      <c r="Y122" s="38"/>
      <c r="Z122" s="37"/>
      <c r="AA122" s="38"/>
      <c r="AB122" s="38"/>
      <c r="AC122" s="40"/>
      <c r="AD122" s="41"/>
      <c r="AE122" s="42" t="str">
        <f aca="false">IF(OR(A122="",NOT(ISNUMBER(AC122)),NOT(ISNUMBER(AD122))),"",IF(AD122&gt;0,AC122/AD122,""))</f>
        <v/>
      </c>
      <c r="AF122" s="42" t="str">
        <f aca="false">IF(OR(A122="",AB122=""),"",IFERROR(INDEX(Arbeitszeitmodelle!$C$5:$C$34,MATCH(AB122,Arbeitszeitmodelle!$A$5:$A$34,0)),""))</f>
        <v/>
      </c>
      <c r="AG122" s="38"/>
      <c r="AH122" s="38"/>
      <c r="AI122" s="38"/>
      <c r="AJ122" s="41"/>
      <c r="AK122" s="41"/>
      <c r="AL122" s="38"/>
      <c r="AM122" s="41"/>
      <c r="AN122" s="38"/>
      <c r="AO122" s="38"/>
      <c r="AP122" s="38"/>
      <c r="AQ122" s="38"/>
      <c r="AR122" s="41"/>
      <c r="AS122" s="40"/>
      <c r="AT122" s="39"/>
      <c r="AU122" s="41"/>
      <c r="AV122" s="43" t="str">
        <f aca="false">IF(OR(A122="",NOT(ISNUMBER(AD122))),"",P_MinUrlaubWerktage/6*AD122)</f>
        <v/>
      </c>
      <c r="AW122" s="43" t="str">
        <f aca="false">IF(A122="","",IF(M122="Ja",P_ZusatzSB*IF(ISNUMBER(AD122),AD122,5)/5,0))</f>
        <v/>
      </c>
      <c r="AX122" s="41"/>
      <c r="AY122" s="39"/>
      <c r="AZ122" s="43" t="str">
        <f aca="false">IF(OR(A122="",NOT(ISNUMBER(AU122))),"",SUM(AU122,AW122,AX122))</f>
        <v/>
      </c>
      <c r="BA122" s="38"/>
      <c r="BB122" s="44"/>
      <c r="BC122" s="44"/>
      <c r="BD122" s="45" t="str">
        <f aca="false">IF(A122="","",IF(BA122="Stundenlohn",IF(ISNUMBER(BC122),BC122,""),IF(AND(ISNUMBER(BB122),ISNUMBER(AC122)),IF(AC122&gt;0,BB122*12/(AC122*52),""),"")))</f>
        <v/>
      </c>
      <c r="BE122" s="46" t="str">
        <f aca="false">IF(OR(A122="",NOT(ISNUMBER(F122))),"",IFERROR(DATEDIF(F122,P_Stichtag,"Y"),""))</f>
        <v/>
      </c>
      <c r="BF122" s="47" t="str">
        <f aca="false">IF(OR(A122="",NOT(ISNUMBER(BE122))),"",IF(BE122&lt;18,"Ja","Nein"))</f>
        <v/>
      </c>
      <c r="BG122" s="48" t="str">
        <f aca="false">IF(A122="","",IF((IF(OR(B122="",C122="",F122="",N122="",Q122="",AB122="",AC122="",AD122="",AU122=""),"Pflichtfelder fehlen; ","")&amp;IF(AND(ISNUMBER(AC122),AC122&gt;P_MaxWoche),"Wochenstunden &gt; Prüfgrenze; ","")&amp;IF(AND(BF122="Ja",ISNUMBER(AC122),AC122&gt;P_MaxWocheJugend),"Jugendlicher &gt; 40 h/Woche; ","")&amp;IF(AND(ISNUMBER(BD122),BD122&lt;P_Mindestlohn,Q122&lt;&gt;"Auszubildende/r",Q122&lt;&gt;"Praktikant/in"),"Mindestlohn unterschritten?; ","")&amp;IF(AND(Q122="Minijob (geringfügig)",ISNUMBER(BB122),BB122&gt;P_Minijob),"Minijob-Grenze überschritten; ","")&amp;IF(AND(R122="Ja",S122=""),"Befristung ohne Enddatum; ","")&amp;IF(AND(ISNUMBER(O122),ISNUMBER(N122),O122&lt;N122),"Austritt vor Eintritt; ","")&amp;IF(AND(ISNUMBER(AU122),ISNUMBER(AV122),AU122&lt;AV122),"Urlaub unter gesetzl. Minimum; ","")&amp;IF(AND(ISNUMBER(AC122),ISNUMBER(AF122),ABS(N(AC122)-N(AF122))&gt;0.01),"Wochenstd. weichen vom Modell ab; ","")&amp;IF(AND(AI122="Ja",OR(AJ122="",AK122="")),"Kontogrenzen fehlen; ","")&amp;IF(AND(AL122="Mit Gehalt abgegolten (Pauschale)",AM122=""),"Überstunden-Pauschale fehlt; ",""))="","OK",IF(OR(B122="",C122="",F122="",N122="",Q122="",AB122="",AC122="",AD122="",AU122=""),"Pflichtfelder fehlen; ","")&amp;IF(AND(ISNUMBER(AC122),AC122&gt;P_MaxWoche),"Wochenstunden &gt; Prüfgrenze; ","")&amp;IF(AND(BF122="Ja",ISNUMBER(AC122),AC122&gt;P_MaxWocheJugend),"Jugendlicher &gt; 40 h/Woche; ","")&amp;IF(AND(ISNUMBER(BD122),BD122&lt;P_Mindestlohn,Q122&lt;&gt;"Auszubildende/r",Q122&lt;&gt;"Praktikant/in"),"Mindestlohn unterschritten?; ","")&amp;IF(AND(Q122="Minijob (geringfügig)",ISNUMBER(BB122),BB122&gt;P_Minijob),"Minijob-Grenze überschritten; ","")&amp;IF(AND(R122="Ja",S122=""),"Befristung ohne Enddatum; ","")&amp;IF(AND(ISNUMBER(O122),ISNUMBER(N122),O122&lt;N122),"Austritt vor Eintritt; ","")&amp;IF(AND(ISNUMBER(AU122),ISNUMBER(AV122),AU122&lt;AV122),"Urlaub unter gesetzl. Minimum; ","")&amp;IF(AND(ISNUMBER(AC122),ISNUMBER(AF122),ABS(N(AC122)-N(AF122))&gt;0.01),"Wochenstd. weichen vom Modell ab; ","")&amp;IF(AND(AI122="Ja",OR(AJ122="",AK122="")),"Kontogrenzen fehlen; ","")&amp;IF(AND(AL122="Mit Gehalt abgegolten (Pauschale)",AM122=""),"Überstunden-Pauschale fehlt; ","")))</f>
        <v/>
      </c>
      <c r="BH122" s="38"/>
    </row>
    <row r="123" customFormat="false" ht="15" hidden="false" customHeight="false" outlineLevel="0" collapsed="false">
      <c r="A123" s="37"/>
      <c r="B123" s="38"/>
      <c r="C123" s="38"/>
      <c r="D123" s="38"/>
      <c r="E123" s="38"/>
      <c r="F123" s="39"/>
      <c r="G123" s="38"/>
      <c r="H123" s="38"/>
      <c r="I123" s="37"/>
      <c r="J123" s="38"/>
      <c r="K123" s="38"/>
      <c r="L123" s="38"/>
      <c r="M123" s="38"/>
      <c r="N123" s="39"/>
      <c r="O123" s="39"/>
      <c r="P123" s="38"/>
      <c r="Q123" s="38"/>
      <c r="R123" s="38"/>
      <c r="S123" s="39"/>
      <c r="T123" s="39"/>
      <c r="U123" s="38"/>
      <c r="V123" s="38"/>
      <c r="W123" s="37"/>
      <c r="X123" s="38"/>
      <c r="Y123" s="38"/>
      <c r="Z123" s="37"/>
      <c r="AA123" s="38"/>
      <c r="AB123" s="38"/>
      <c r="AC123" s="40"/>
      <c r="AD123" s="41"/>
      <c r="AE123" s="42" t="str">
        <f aca="false">IF(OR(A123="",NOT(ISNUMBER(AC123)),NOT(ISNUMBER(AD123))),"",IF(AD123&gt;0,AC123/AD123,""))</f>
        <v/>
      </c>
      <c r="AF123" s="42" t="str">
        <f aca="false">IF(OR(A123="",AB123=""),"",IFERROR(INDEX(Arbeitszeitmodelle!$C$5:$C$34,MATCH(AB123,Arbeitszeitmodelle!$A$5:$A$34,0)),""))</f>
        <v/>
      </c>
      <c r="AG123" s="38"/>
      <c r="AH123" s="38"/>
      <c r="AI123" s="38"/>
      <c r="AJ123" s="41"/>
      <c r="AK123" s="41"/>
      <c r="AL123" s="38"/>
      <c r="AM123" s="41"/>
      <c r="AN123" s="38"/>
      <c r="AO123" s="38"/>
      <c r="AP123" s="38"/>
      <c r="AQ123" s="38"/>
      <c r="AR123" s="41"/>
      <c r="AS123" s="40"/>
      <c r="AT123" s="39"/>
      <c r="AU123" s="41"/>
      <c r="AV123" s="43" t="str">
        <f aca="false">IF(OR(A123="",NOT(ISNUMBER(AD123))),"",P_MinUrlaubWerktage/6*AD123)</f>
        <v/>
      </c>
      <c r="AW123" s="43" t="str">
        <f aca="false">IF(A123="","",IF(M123="Ja",P_ZusatzSB*IF(ISNUMBER(AD123),AD123,5)/5,0))</f>
        <v/>
      </c>
      <c r="AX123" s="41"/>
      <c r="AY123" s="39"/>
      <c r="AZ123" s="43" t="str">
        <f aca="false">IF(OR(A123="",NOT(ISNUMBER(AU123))),"",SUM(AU123,AW123,AX123))</f>
        <v/>
      </c>
      <c r="BA123" s="38"/>
      <c r="BB123" s="44"/>
      <c r="BC123" s="44"/>
      <c r="BD123" s="45" t="str">
        <f aca="false">IF(A123="","",IF(BA123="Stundenlohn",IF(ISNUMBER(BC123),BC123,""),IF(AND(ISNUMBER(BB123),ISNUMBER(AC123)),IF(AC123&gt;0,BB123*12/(AC123*52),""),"")))</f>
        <v/>
      </c>
      <c r="BE123" s="46" t="str">
        <f aca="false">IF(OR(A123="",NOT(ISNUMBER(F123))),"",IFERROR(DATEDIF(F123,P_Stichtag,"Y"),""))</f>
        <v/>
      </c>
      <c r="BF123" s="47" t="str">
        <f aca="false">IF(OR(A123="",NOT(ISNUMBER(BE123))),"",IF(BE123&lt;18,"Ja","Nein"))</f>
        <v/>
      </c>
      <c r="BG123" s="48" t="str">
        <f aca="false">IF(A123="","",IF((IF(OR(B123="",C123="",F123="",N123="",Q123="",AB123="",AC123="",AD123="",AU123=""),"Pflichtfelder fehlen; ","")&amp;IF(AND(ISNUMBER(AC123),AC123&gt;P_MaxWoche),"Wochenstunden &gt; Prüfgrenze; ","")&amp;IF(AND(BF123="Ja",ISNUMBER(AC123),AC123&gt;P_MaxWocheJugend),"Jugendlicher &gt; 40 h/Woche; ","")&amp;IF(AND(ISNUMBER(BD123),BD123&lt;P_Mindestlohn,Q123&lt;&gt;"Auszubildende/r",Q123&lt;&gt;"Praktikant/in"),"Mindestlohn unterschritten?; ","")&amp;IF(AND(Q123="Minijob (geringfügig)",ISNUMBER(BB123),BB123&gt;P_Minijob),"Minijob-Grenze überschritten; ","")&amp;IF(AND(R123="Ja",S123=""),"Befristung ohne Enddatum; ","")&amp;IF(AND(ISNUMBER(O123),ISNUMBER(N123),O123&lt;N123),"Austritt vor Eintritt; ","")&amp;IF(AND(ISNUMBER(AU123),ISNUMBER(AV123),AU123&lt;AV123),"Urlaub unter gesetzl. Minimum; ","")&amp;IF(AND(ISNUMBER(AC123),ISNUMBER(AF123),ABS(N(AC123)-N(AF123))&gt;0.01),"Wochenstd. weichen vom Modell ab; ","")&amp;IF(AND(AI123="Ja",OR(AJ123="",AK123="")),"Kontogrenzen fehlen; ","")&amp;IF(AND(AL123="Mit Gehalt abgegolten (Pauschale)",AM123=""),"Überstunden-Pauschale fehlt; ",""))="","OK",IF(OR(B123="",C123="",F123="",N123="",Q123="",AB123="",AC123="",AD123="",AU123=""),"Pflichtfelder fehlen; ","")&amp;IF(AND(ISNUMBER(AC123),AC123&gt;P_MaxWoche),"Wochenstunden &gt; Prüfgrenze; ","")&amp;IF(AND(BF123="Ja",ISNUMBER(AC123),AC123&gt;P_MaxWocheJugend),"Jugendlicher &gt; 40 h/Woche; ","")&amp;IF(AND(ISNUMBER(BD123),BD123&lt;P_Mindestlohn,Q123&lt;&gt;"Auszubildende/r",Q123&lt;&gt;"Praktikant/in"),"Mindestlohn unterschritten?; ","")&amp;IF(AND(Q123="Minijob (geringfügig)",ISNUMBER(BB123),BB123&gt;P_Minijob),"Minijob-Grenze überschritten; ","")&amp;IF(AND(R123="Ja",S123=""),"Befristung ohne Enddatum; ","")&amp;IF(AND(ISNUMBER(O123),ISNUMBER(N123),O123&lt;N123),"Austritt vor Eintritt; ","")&amp;IF(AND(ISNUMBER(AU123),ISNUMBER(AV123),AU123&lt;AV123),"Urlaub unter gesetzl. Minimum; ","")&amp;IF(AND(ISNUMBER(AC123),ISNUMBER(AF123),ABS(N(AC123)-N(AF123))&gt;0.01),"Wochenstd. weichen vom Modell ab; ","")&amp;IF(AND(AI123="Ja",OR(AJ123="",AK123="")),"Kontogrenzen fehlen; ","")&amp;IF(AND(AL123="Mit Gehalt abgegolten (Pauschale)",AM123=""),"Überstunden-Pauschale fehlt; ","")))</f>
        <v/>
      </c>
      <c r="BH123" s="38"/>
    </row>
    <row r="124" customFormat="false" ht="15" hidden="false" customHeight="false" outlineLevel="0" collapsed="false">
      <c r="A124" s="37"/>
      <c r="B124" s="38"/>
      <c r="C124" s="38"/>
      <c r="D124" s="38"/>
      <c r="E124" s="38"/>
      <c r="F124" s="39"/>
      <c r="G124" s="38"/>
      <c r="H124" s="38"/>
      <c r="I124" s="37"/>
      <c r="J124" s="38"/>
      <c r="K124" s="38"/>
      <c r="L124" s="38"/>
      <c r="M124" s="38"/>
      <c r="N124" s="39"/>
      <c r="O124" s="39"/>
      <c r="P124" s="38"/>
      <c r="Q124" s="38"/>
      <c r="R124" s="38"/>
      <c r="S124" s="39"/>
      <c r="T124" s="39"/>
      <c r="U124" s="38"/>
      <c r="V124" s="38"/>
      <c r="W124" s="37"/>
      <c r="X124" s="38"/>
      <c r="Y124" s="38"/>
      <c r="Z124" s="37"/>
      <c r="AA124" s="38"/>
      <c r="AB124" s="38"/>
      <c r="AC124" s="40"/>
      <c r="AD124" s="41"/>
      <c r="AE124" s="42" t="str">
        <f aca="false">IF(OR(A124="",NOT(ISNUMBER(AC124)),NOT(ISNUMBER(AD124))),"",IF(AD124&gt;0,AC124/AD124,""))</f>
        <v/>
      </c>
      <c r="AF124" s="42" t="str">
        <f aca="false">IF(OR(A124="",AB124=""),"",IFERROR(INDEX(Arbeitszeitmodelle!$C$5:$C$34,MATCH(AB124,Arbeitszeitmodelle!$A$5:$A$34,0)),""))</f>
        <v/>
      </c>
      <c r="AG124" s="38"/>
      <c r="AH124" s="38"/>
      <c r="AI124" s="38"/>
      <c r="AJ124" s="41"/>
      <c r="AK124" s="41"/>
      <c r="AL124" s="38"/>
      <c r="AM124" s="41"/>
      <c r="AN124" s="38"/>
      <c r="AO124" s="38"/>
      <c r="AP124" s="38"/>
      <c r="AQ124" s="38"/>
      <c r="AR124" s="41"/>
      <c r="AS124" s="40"/>
      <c r="AT124" s="39"/>
      <c r="AU124" s="41"/>
      <c r="AV124" s="43" t="str">
        <f aca="false">IF(OR(A124="",NOT(ISNUMBER(AD124))),"",P_MinUrlaubWerktage/6*AD124)</f>
        <v/>
      </c>
      <c r="AW124" s="43" t="str">
        <f aca="false">IF(A124="","",IF(M124="Ja",P_ZusatzSB*IF(ISNUMBER(AD124),AD124,5)/5,0))</f>
        <v/>
      </c>
      <c r="AX124" s="41"/>
      <c r="AY124" s="39"/>
      <c r="AZ124" s="43" t="str">
        <f aca="false">IF(OR(A124="",NOT(ISNUMBER(AU124))),"",SUM(AU124,AW124,AX124))</f>
        <v/>
      </c>
      <c r="BA124" s="38"/>
      <c r="BB124" s="44"/>
      <c r="BC124" s="44"/>
      <c r="BD124" s="45" t="str">
        <f aca="false">IF(A124="","",IF(BA124="Stundenlohn",IF(ISNUMBER(BC124),BC124,""),IF(AND(ISNUMBER(BB124),ISNUMBER(AC124)),IF(AC124&gt;0,BB124*12/(AC124*52),""),"")))</f>
        <v/>
      </c>
      <c r="BE124" s="46" t="str">
        <f aca="false">IF(OR(A124="",NOT(ISNUMBER(F124))),"",IFERROR(DATEDIF(F124,P_Stichtag,"Y"),""))</f>
        <v/>
      </c>
      <c r="BF124" s="47" t="str">
        <f aca="false">IF(OR(A124="",NOT(ISNUMBER(BE124))),"",IF(BE124&lt;18,"Ja","Nein"))</f>
        <v/>
      </c>
      <c r="BG124" s="48" t="str">
        <f aca="false">IF(A124="","",IF((IF(OR(B124="",C124="",F124="",N124="",Q124="",AB124="",AC124="",AD124="",AU124=""),"Pflichtfelder fehlen; ","")&amp;IF(AND(ISNUMBER(AC124),AC124&gt;P_MaxWoche),"Wochenstunden &gt; Prüfgrenze; ","")&amp;IF(AND(BF124="Ja",ISNUMBER(AC124),AC124&gt;P_MaxWocheJugend),"Jugendlicher &gt; 40 h/Woche; ","")&amp;IF(AND(ISNUMBER(BD124),BD124&lt;P_Mindestlohn,Q124&lt;&gt;"Auszubildende/r",Q124&lt;&gt;"Praktikant/in"),"Mindestlohn unterschritten?; ","")&amp;IF(AND(Q124="Minijob (geringfügig)",ISNUMBER(BB124),BB124&gt;P_Minijob),"Minijob-Grenze überschritten; ","")&amp;IF(AND(R124="Ja",S124=""),"Befristung ohne Enddatum; ","")&amp;IF(AND(ISNUMBER(O124),ISNUMBER(N124),O124&lt;N124),"Austritt vor Eintritt; ","")&amp;IF(AND(ISNUMBER(AU124),ISNUMBER(AV124),AU124&lt;AV124),"Urlaub unter gesetzl. Minimum; ","")&amp;IF(AND(ISNUMBER(AC124),ISNUMBER(AF124),ABS(N(AC124)-N(AF124))&gt;0.01),"Wochenstd. weichen vom Modell ab; ","")&amp;IF(AND(AI124="Ja",OR(AJ124="",AK124="")),"Kontogrenzen fehlen; ","")&amp;IF(AND(AL124="Mit Gehalt abgegolten (Pauschale)",AM124=""),"Überstunden-Pauschale fehlt; ",""))="","OK",IF(OR(B124="",C124="",F124="",N124="",Q124="",AB124="",AC124="",AD124="",AU124=""),"Pflichtfelder fehlen; ","")&amp;IF(AND(ISNUMBER(AC124),AC124&gt;P_MaxWoche),"Wochenstunden &gt; Prüfgrenze; ","")&amp;IF(AND(BF124="Ja",ISNUMBER(AC124),AC124&gt;P_MaxWocheJugend),"Jugendlicher &gt; 40 h/Woche; ","")&amp;IF(AND(ISNUMBER(BD124),BD124&lt;P_Mindestlohn,Q124&lt;&gt;"Auszubildende/r",Q124&lt;&gt;"Praktikant/in"),"Mindestlohn unterschritten?; ","")&amp;IF(AND(Q124="Minijob (geringfügig)",ISNUMBER(BB124),BB124&gt;P_Minijob),"Minijob-Grenze überschritten; ","")&amp;IF(AND(R124="Ja",S124=""),"Befristung ohne Enddatum; ","")&amp;IF(AND(ISNUMBER(O124),ISNUMBER(N124),O124&lt;N124),"Austritt vor Eintritt; ","")&amp;IF(AND(ISNUMBER(AU124),ISNUMBER(AV124),AU124&lt;AV124),"Urlaub unter gesetzl. Minimum; ","")&amp;IF(AND(ISNUMBER(AC124),ISNUMBER(AF124),ABS(N(AC124)-N(AF124))&gt;0.01),"Wochenstd. weichen vom Modell ab; ","")&amp;IF(AND(AI124="Ja",OR(AJ124="",AK124="")),"Kontogrenzen fehlen; ","")&amp;IF(AND(AL124="Mit Gehalt abgegolten (Pauschale)",AM124=""),"Überstunden-Pauschale fehlt; ","")))</f>
        <v/>
      </c>
      <c r="BH124" s="38"/>
    </row>
    <row r="125" customFormat="false" ht="15" hidden="false" customHeight="false" outlineLevel="0" collapsed="false">
      <c r="A125" s="37"/>
      <c r="B125" s="38"/>
      <c r="C125" s="38"/>
      <c r="D125" s="38"/>
      <c r="E125" s="38"/>
      <c r="F125" s="39"/>
      <c r="G125" s="38"/>
      <c r="H125" s="38"/>
      <c r="I125" s="37"/>
      <c r="J125" s="38"/>
      <c r="K125" s="38"/>
      <c r="L125" s="38"/>
      <c r="M125" s="38"/>
      <c r="N125" s="39"/>
      <c r="O125" s="39"/>
      <c r="P125" s="38"/>
      <c r="Q125" s="38"/>
      <c r="R125" s="38"/>
      <c r="S125" s="39"/>
      <c r="T125" s="39"/>
      <c r="U125" s="38"/>
      <c r="V125" s="38"/>
      <c r="W125" s="37"/>
      <c r="X125" s="38"/>
      <c r="Y125" s="38"/>
      <c r="Z125" s="37"/>
      <c r="AA125" s="38"/>
      <c r="AB125" s="38"/>
      <c r="AC125" s="40"/>
      <c r="AD125" s="41"/>
      <c r="AE125" s="42" t="str">
        <f aca="false">IF(OR(A125="",NOT(ISNUMBER(AC125)),NOT(ISNUMBER(AD125))),"",IF(AD125&gt;0,AC125/AD125,""))</f>
        <v/>
      </c>
      <c r="AF125" s="42" t="str">
        <f aca="false">IF(OR(A125="",AB125=""),"",IFERROR(INDEX(Arbeitszeitmodelle!$C$5:$C$34,MATCH(AB125,Arbeitszeitmodelle!$A$5:$A$34,0)),""))</f>
        <v/>
      </c>
      <c r="AG125" s="38"/>
      <c r="AH125" s="38"/>
      <c r="AI125" s="38"/>
      <c r="AJ125" s="41"/>
      <c r="AK125" s="41"/>
      <c r="AL125" s="38"/>
      <c r="AM125" s="41"/>
      <c r="AN125" s="38"/>
      <c r="AO125" s="38"/>
      <c r="AP125" s="38"/>
      <c r="AQ125" s="38"/>
      <c r="AR125" s="41"/>
      <c r="AS125" s="40"/>
      <c r="AT125" s="39"/>
      <c r="AU125" s="41"/>
      <c r="AV125" s="43" t="str">
        <f aca="false">IF(OR(A125="",NOT(ISNUMBER(AD125))),"",P_MinUrlaubWerktage/6*AD125)</f>
        <v/>
      </c>
      <c r="AW125" s="43" t="str">
        <f aca="false">IF(A125="","",IF(M125="Ja",P_ZusatzSB*IF(ISNUMBER(AD125),AD125,5)/5,0))</f>
        <v/>
      </c>
      <c r="AX125" s="41"/>
      <c r="AY125" s="39"/>
      <c r="AZ125" s="43" t="str">
        <f aca="false">IF(OR(A125="",NOT(ISNUMBER(AU125))),"",SUM(AU125,AW125,AX125))</f>
        <v/>
      </c>
      <c r="BA125" s="38"/>
      <c r="BB125" s="44"/>
      <c r="BC125" s="44"/>
      <c r="BD125" s="45" t="str">
        <f aca="false">IF(A125="","",IF(BA125="Stundenlohn",IF(ISNUMBER(BC125),BC125,""),IF(AND(ISNUMBER(BB125),ISNUMBER(AC125)),IF(AC125&gt;0,BB125*12/(AC125*52),""),"")))</f>
        <v/>
      </c>
      <c r="BE125" s="46" t="str">
        <f aca="false">IF(OR(A125="",NOT(ISNUMBER(F125))),"",IFERROR(DATEDIF(F125,P_Stichtag,"Y"),""))</f>
        <v/>
      </c>
      <c r="BF125" s="47" t="str">
        <f aca="false">IF(OR(A125="",NOT(ISNUMBER(BE125))),"",IF(BE125&lt;18,"Ja","Nein"))</f>
        <v/>
      </c>
      <c r="BG125" s="48" t="str">
        <f aca="false">IF(A125="","",IF((IF(OR(B125="",C125="",F125="",N125="",Q125="",AB125="",AC125="",AD125="",AU125=""),"Pflichtfelder fehlen; ","")&amp;IF(AND(ISNUMBER(AC125),AC125&gt;P_MaxWoche),"Wochenstunden &gt; Prüfgrenze; ","")&amp;IF(AND(BF125="Ja",ISNUMBER(AC125),AC125&gt;P_MaxWocheJugend),"Jugendlicher &gt; 40 h/Woche; ","")&amp;IF(AND(ISNUMBER(BD125),BD125&lt;P_Mindestlohn,Q125&lt;&gt;"Auszubildende/r",Q125&lt;&gt;"Praktikant/in"),"Mindestlohn unterschritten?; ","")&amp;IF(AND(Q125="Minijob (geringfügig)",ISNUMBER(BB125),BB125&gt;P_Minijob),"Minijob-Grenze überschritten; ","")&amp;IF(AND(R125="Ja",S125=""),"Befristung ohne Enddatum; ","")&amp;IF(AND(ISNUMBER(O125),ISNUMBER(N125),O125&lt;N125),"Austritt vor Eintritt; ","")&amp;IF(AND(ISNUMBER(AU125),ISNUMBER(AV125),AU125&lt;AV125),"Urlaub unter gesetzl. Minimum; ","")&amp;IF(AND(ISNUMBER(AC125),ISNUMBER(AF125),ABS(N(AC125)-N(AF125))&gt;0.01),"Wochenstd. weichen vom Modell ab; ","")&amp;IF(AND(AI125="Ja",OR(AJ125="",AK125="")),"Kontogrenzen fehlen; ","")&amp;IF(AND(AL125="Mit Gehalt abgegolten (Pauschale)",AM125=""),"Überstunden-Pauschale fehlt; ",""))="","OK",IF(OR(B125="",C125="",F125="",N125="",Q125="",AB125="",AC125="",AD125="",AU125=""),"Pflichtfelder fehlen; ","")&amp;IF(AND(ISNUMBER(AC125),AC125&gt;P_MaxWoche),"Wochenstunden &gt; Prüfgrenze; ","")&amp;IF(AND(BF125="Ja",ISNUMBER(AC125),AC125&gt;P_MaxWocheJugend),"Jugendlicher &gt; 40 h/Woche; ","")&amp;IF(AND(ISNUMBER(BD125),BD125&lt;P_Mindestlohn,Q125&lt;&gt;"Auszubildende/r",Q125&lt;&gt;"Praktikant/in"),"Mindestlohn unterschritten?; ","")&amp;IF(AND(Q125="Minijob (geringfügig)",ISNUMBER(BB125),BB125&gt;P_Minijob),"Minijob-Grenze überschritten; ","")&amp;IF(AND(R125="Ja",S125=""),"Befristung ohne Enddatum; ","")&amp;IF(AND(ISNUMBER(O125),ISNUMBER(N125),O125&lt;N125),"Austritt vor Eintritt; ","")&amp;IF(AND(ISNUMBER(AU125),ISNUMBER(AV125),AU125&lt;AV125),"Urlaub unter gesetzl. Minimum; ","")&amp;IF(AND(ISNUMBER(AC125),ISNUMBER(AF125),ABS(N(AC125)-N(AF125))&gt;0.01),"Wochenstd. weichen vom Modell ab; ","")&amp;IF(AND(AI125="Ja",OR(AJ125="",AK125="")),"Kontogrenzen fehlen; ","")&amp;IF(AND(AL125="Mit Gehalt abgegolten (Pauschale)",AM125=""),"Überstunden-Pauschale fehlt; ","")))</f>
        <v/>
      </c>
      <c r="BH125" s="38"/>
    </row>
    <row r="126" customFormat="false" ht="15" hidden="false" customHeight="false" outlineLevel="0" collapsed="false">
      <c r="A126" s="37"/>
      <c r="B126" s="38"/>
      <c r="C126" s="38"/>
      <c r="D126" s="38"/>
      <c r="E126" s="38"/>
      <c r="F126" s="39"/>
      <c r="G126" s="38"/>
      <c r="H126" s="38"/>
      <c r="I126" s="37"/>
      <c r="J126" s="38"/>
      <c r="K126" s="38"/>
      <c r="L126" s="38"/>
      <c r="M126" s="38"/>
      <c r="N126" s="39"/>
      <c r="O126" s="39"/>
      <c r="P126" s="38"/>
      <c r="Q126" s="38"/>
      <c r="R126" s="38"/>
      <c r="S126" s="39"/>
      <c r="T126" s="39"/>
      <c r="U126" s="38"/>
      <c r="V126" s="38"/>
      <c r="W126" s="37"/>
      <c r="X126" s="38"/>
      <c r="Y126" s="38"/>
      <c r="Z126" s="37"/>
      <c r="AA126" s="38"/>
      <c r="AB126" s="38"/>
      <c r="AC126" s="40"/>
      <c r="AD126" s="41"/>
      <c r="AE126" s="42" t="str">
        <f aca="false">IF(OR(A126="",NOT(ISNUMBER(AC126)),NOT(ISNUMBER(AD126))),"",IF(AD126&gt;0,AC126/AD126,""))</f>
        <v/>
      </c>
      <c r="AF126" s="42" t="str">
        <f aca="false">IF(OR(A126="",AB126=""),"",IFERROR(INDEX(Arbeitszeitmodelle!$C$5:$C$34,MATCH(AB126,Arbeitszeitmodelle!$A$5:$A$34,0)),""))</f>
        <v/>
      </c>
      <c r="AG126" s="38"/>
      <c r="AH126" s="38"/>
      <c r="AI126" s="38"/>
      <c r="AJ126" s="41"/>
      <c r="AK126" s="41"/>
      <c r="AL126" s="38"/>
      <c r="AM126" s="41"/>
      <c r="AN126" s="38"/>
      <c r="AO126" s="38"/>
      <c r="AP126" s="38"/>
      <c r="AQ126" s="38"/>
      <c r="AR126" s="41"/>
      <c r="AS126" s="40"/>
      <c r="AT126" s="39"/>
      <c r="AU126" s="41"/>
      <c r="AV126" s="43" t="str">
        <f aca="false">IF(OR(A126="",NOT(ISNUMBER(AD126))),"",P_MinUrlaubWerktage/6*AD126)</f>
        <v/>
      </c>
      <c r="AW126" s="43" t="str">
        <f aca="false">IF(A126="","",IF(M126="Ja",P_ZusatzSB*IF(ISNUMBER(AD126),AD126,5)/5,0))</f>
        <v/>
      </c>
      <c r="AX126" s="41"/>
      <c r="AY126" s="39"/>
      <c r="AZ126" s="43" t="str">
        <f aca="false">IF(OR(A126="",NOT(ISNUMBER(AU126))),"",SUM(AU126,AW126,AX126))</f>
        <v/>
      </c>
      <c r="BA126" s="38"/>
      <c r="BB126" s="44"/>
      <c r="BC126" s="44"/>
      <c r="BD126" s="45" t="str">
        <f aca="false">IF(A126="","",IF(BA126="Stundenlohn",IF(ISNUMBER(BC126),BC126,""),IF(AND(ISNUMBER(BB126),ISNUMBER(AC126)),IF(AC126&gt;0,BB126*12/(AC126*52),""),"")))</f>
        <v/>
      </c>
      <c r="BE126" s="46" t="str">
        <f aca="false">IF(OR(A126="",NOT(ISNUMBER(F126))),"",IFERROR(DATEDIF(F126,P_Stichtag,"Y"),""))</f>
        <v/>
      </c>
      <c r="BF126" s="47" t="str">
        <f aca="false">IF(OR(A126="",NOT(ISNUMBER(BE126))),"",IF(BE126&lt;18,"Ja","Nein"))</f>
        <v/>
      </c>
      <c r="BG126" s="48" t="str">
        <f aca="false">IF(A126="","",IF((IF(OR(B126="",C126="",F126="",N126="",Q126="",AB126="",AC126="",AD126="",AU126=""),"Pflichtfelder fehlen; ","")&amp;IF(AND(ISNUMBER(AC126),AC126&gt;P_MaxWoche),"Wochenstunden &gt; Prüfgrenze; ","")&amp;IF(AND(BF126="Ja",ISNUMBER(AC126),AC126&gt;P_MaxWocheJugend),"Jugendlicher &gt; 40 h/Woche; ","")&amp;IF(AND(ISNUMBER(BD126),BD126&lt;P_Mindestlohn,Q126&lt;&gt;"Auszubildende/r",Q126&lt;&gt;"Praktikant/in"),"Mindestlohn unterschritten?; ","")&amp;IF(AND(Q126="Minijob (geringfügig)",ISNUMBER(BB126),BB126&gt;P_Minijob),"Minijob-Grenze überschritten; ","")&amp;IF(AND(R126="Ja",S126=""),"Befristung ohne Enddatum; ","")&amp;IF(AND(ISNUMBER(O126),ISNUMBER(N126),O126&lt;N126),"Austritt vor Eintritt; ","")&amp;IF(AND(ISNUMBER(AU126),ISNUMBER(AV126),AU126&lt;AV126),"Urlaub unter gesetzl. Minimum; ","")&amp;IF(AND(ISNUMBER(AC126),ISNUMBER(AF126),ABS(N(AC126)-N(AF126))&gt;0.01),"Wochenstd. weichen vom Modell ab; ","")&amp;IF(AND(AI126="Ja",OR(AJ126="",AK126="")),"Kontogrenzen fehlen; ","")&amp;IF(AND(AL126="Mit Gehalt abgegolten (Pauschale)",AM126=""),"Überstunden-Pauschale fehlt; ",""))="","OK",IF(OR(B126="",C126="",F126="",N126="",Q126="",AB126="",AC126="",AD126="",AU126=""),"Pflichtfelder fehlen; ","")&amp;IF(AND(ISNUMBER(AC126),AC126&gt;P_MaxWoche),"Wochenstunden &gt; Prüfgrenze; ","")&amp;IF(AND(BF126="Ja",ISNUMBER(AC126),AC126&gt;P_MaxWocheJugend),"Jugendlicher &gt; 40 h/Woche; ","")&amp;IF(AND(ISNUMBER(BD126),BD126&lt;P_Mindestlohn,Q126&lt;&gt;"Auszubildende/r",Q126&lt;&gt;"Praktikant/in"),"Mindestlohn unterschritten?; ","")&amp;IF(AND(Q126="Minijob (geringfügig)",ISNUMBER(BB126),BB126&gt;P_Minijob),"Minijob-Grenze überschritten; ","")&amp;IF(AND(R126="Ja",S126=""),"Befristung ohne Enddatum; ","")&amp;IF(AND(ISNUMBER(O126),ISNUMBER(N126),O126&lt;N126),"Austritt vor Eintritt; ","")&amp;IF(AND(ISNUMBER(AU126),ISNUMBER(AV126),AU126&lt;AV126),"Urlaub unter gesetzl. Minimum; ","")&amp;IF(AND(ISNUMBER(AC126),ISNUMBER(AF126),ABS(N(AC126)-N(AF126))&gt;0.01),"Wochenstd. weichen vom Modell ab; ","")&amp;IF(AND(AI126="Ja",OR(AJ126="",AK126="")),"Kontogrenzen fehlen; ","")&amp;IF(AND(AL126="Mit Gehalt abgegolten (Pauschale)",AM126=""),"Überstunden-Pauschale fehlt; ","")))</f>
        <v/>
      </c>
      <c r="BH126" s="38"/>
    </row>
    <row r="127" customFormat="false" ht="15" hidden="false" customHeight="false" outlineLevel="0" collapsed="false">
      <c r="A127" s="37"/>
      <c r="B127" s="38"/>
      <c r="C127" s="38"/>
      <c r="D127" s="38"/>
      <c r="E127" s="38"/>
      <c r="F127" s="39"/>
      <c r="G127" s="38"/>
      <c r="H127" s="38"/>
      <c r="I127" s="37"/>
      <c r="J127" s="38"/>
      <c r="K127" s="38"/>
      <c r="L127" s="38"/>
      <c r="M127" s="38"/>
      <c r="N127" s="39"/>
      <c r="O127" s="39"/>
      <c r="P127" s="38"/>
      <c r="Q127" s="38"/>
      <c r="R127" s="38"/>
      <c r="S127" s="39"/>
      <c r="T127" s="39"/>
      <c r="U127" s="38"/>
      <c r="V127" s="38"/>
      <c r="W127" s="37"/>
      <c r="X127" s="38"/>
      <c r="Y127" s="38"/>
      <c r="Z127" s="37"/>
      <c r="AA127" s="38"/>
      <c r="AB127" s="38"/>
      <c r="AC127" s="40"/>
      <c r="AD127" s="41"/>
      <c r="AE127" s="42" t="str">
        <f aca="false">IF(OR(A127="",NOT(ISNUMBER(AC127)),NOT(ISNUMBER(AD127))),"",IF(AD127&gt;0,AC127/AD127,""))</f>
        <v/>
      </c>
      <c r="AF127" s="42" t="str">
        <f aca="false">IF(OR(A127="",AB127=""),"",IFERROR(INDEX(Arbeitszeitmodelle!$C$5:$C$34,MATCH(AB127,Arbeitszeitmodelle!$A$5:$A$34,0)),""))</f>
        <v/>
      </c>
      <c r="AG127" s="38"/>
      <c r="AH127" s="38"/>
      <c r="AI127" s="38"/>
      <c r="AJ127" s="41"/>
      <c r="AK127" s="41"/>
      <c r="AL127" s="38"/>
      <c r="AM127" s="41"/>
      <c r="AN127" s="38"/>
      <c r="AO127" s="38"/>
      <c r="AP127" s="38"/>
      <c r="AQ127" s="38"/>
      <c r="AR127" s="41"/>
      <c r="AS127" s="40"/>
      <c r="AT127" s="39"/>
      <c r="AU127" s="41"/>
      <c r="AV127" s="43" t="str">
        <f aca="false">IF(OR(A127="",NOT(ISNUMBER(AD127))),"",P_MinUrlaubWerktage/6*AD127)</f>
        <v/>
      </c>
      <c r="AW127" s="43" t="str">
        <f aca="false">IF(A127="","",IF(M127="Ja",P_ZusatzSB*IF(ISNUMBER(AD127),AD127,5)/5,0))</f>
        <v/>
      </c>
      <c r="AX127" s="41"/>
      <c r="AY127" s="39"/>
      <c r="AZ127" s="43" t="str">
        <f aca="false">IF(OR(A127="",NOT(ISNUMBER(AU127))),"",SUM(AU127,AW127,AX127))</f>
        <v/>
      </c>
      <c r="BA127" s="38"/>
      <c r="BB127" s="44"/>
      <c r="BC127" s="44"/>
      <c r="BD127" s="45" t="str">
        <f aca="false">IF(A127="","",IF(BA127="Stundenlohn",IF(ISNUMBER(BC127),BC127,""),IF(AND(ISNUMBER(BB127),ISNUMBER(AC127)),IF(AC127&gt;0,BB127*12/(AC127*52),""),"")))</f>
        <v/>
      </c>
      <c r="BE127" s="46" t="str">
        <f aca="false">IF(OR(A127="",NOT(ISNUMBER(F127))),"",IFERROR(DATEDIF(F127,P_Stichtag,"Y"),""))</f>
        <v/>
      </c>
      <c r="BF127" s="47" t="str">
        <f aca="false">IF(OR(A127="",NOT(ISNUMBER(BE127))),"",IF(BE127&lt;18,"Ja","Nein"))</f>
        <v/>
      </c>
      <c r="BG127" s="48" t="str">
        <f aca="false">IF(A127="","",IF((IF(OR(B127="",C127="",F127="",N127="",Q127="",AB127="",AC127="",AD127="",AU127=""),"Pflichtfelder fehlen; ","")&amp;IF(AND(ISNUMBER(AC127),AC127&gt;P_MaxWoche),"Wochenstunden &gt; Prüfgrenze; ","")&amp;IF(AND(BF127="Ja",ISNUMBER(AC127),AC127&gt;P_MaxWocheJugend),"Jugendlicher &gt; 40 h/Woche; ","")&amp;IF(AND(ISNUMBER(BD127),BD127&lt;P_Mindestlohn,Q127&lt;&gt;"Auszubildende/r",Q127&lt;&gt;"Praktikant/in"),"Mindestlohn unterschritten?; ","")&amp;IF(AND(Q127="Minijob (geringfügig)",ISNUMBER(BB127),BB127&gt;P_Minijob),"Minijob-Grenze überschritten; ","")&amp;IF(AND(R127="Ja",S127=""),"Befristung ohne Enddatum; ","")&amp;IF(AND(ISNUMBER(O127),ISNUMBER(N127),O127&lt;N127),"Austritt vor Eintritt; ","")&amp;IF(AND(ISNUMBER(AU127),ISNUMBER(AV127),AU127&lt;AV127),"Urlaub unter gesetzl. Minimum; ","")&amp;IF(AND(ISNUMBER(AC127),ISNUMBER(AF127),ABS(N(AC127)-N(AF127))&gt;0.01),"Wochenstd. weichen vom Modell ab; ","")&amp;IF(AND(AI127="Ja",OR(AJ127="",AK127="")),"Kontogrenzen fehlen; ","")&amp;IF(AND(AL127="Mit Gehalt abgegolten (Pauschale)",AM127=""),"Überstunden-Pauschale fehlt; ",""))="","OK",IF(OR(B127="",C127="",F127="",N127="",Q127="",AB127="",AC127="",AD127="",AU127=""),"Pflichtfelder fehlen; ","")&amp;IF(AND(ISNUMBER(AC127),AC127&gt;P_MaxWoche),"Wochenstunden &gt; Prüfgrenze; ","")&amp;IF(AND(BF127="Ja",ISNUMBER(AC127),AC127&gt;P_MaxWocheJugend),"Jugendlicher &gt; 40 h/Woche; ","")&amp;IF(AND(ISNUMBER(BD127),BD127&lt;P_Mindestlohn,Q127&lt;&gt;"Auszubildende/r",Q127&lt;&gt;"Praktikant/in"),"Mindestlohn unterschritten?; ","")&amp;IF(AND(Q127="Minijob (geringfügig)",ISNUMBER(BB127),BB127&gt;P_Minijob),"Minijob-Grenze überschritten; ","")&amp;IF(AND(R127="Ja",S127=""),"Befristung ohne Enddatum; ","")&amp;IF(AND(ISNUMBER(O127),ISNUMBER(N127),O127&lt;N127),"Austritt vor Eintritt; ","")&amp;IF(AND(ISNUMBER(AU127),ISNUMBER(AV127),AU127&lt;AV127),"Urlaub unter gesetzl. Minimum; ","")&amp;IF(AND(ISNUMBER(AC127),ISNUMBER(AF127),ABS(N(AC127)-N(AF127))&gt;0.01),"Wochenstd. weichen vom Modell ab; ","")&amp;IF(AND(AI127="Ja",OR(AJ127="",AK127="")),"Kontogrenzen fehlen; ","")&amp;IF(AND(AL127="Mit Gehalt abgegolten (Pauschale)",AM127=""),"Überstunden-Pauschale fehlt; ","")))</f>
        <v/>
      </c>
      <c r="BH127" s="38"/>
    </row>
    <row r="128" customFormat="false" ht="15" hidden="false" customHeight="false" outlineLevel="0" collapsed="false">
      <c r="A128" s="37"/>
      <c r="B128" s="38"/>
      <c r="C128" s="38"/>
      <c r="D128" s="38"/>
      <c r="E128" s="38"/>
      <c r="F128" s="39"/>
      <c r="G128" s="38"/>
      <c r="H128" s="38"/>
      <c r="I128" s="37"/>
      <c r="J128" s="38"/>
      <c r="K128" s="38"/>
      <c r="L128" s="38"/>
      <c r="M128" s="38"/>
      <c r="N128" s="39"/>
      <c r="O128" s="39"/>
      <c r="P128" s="38"/>
      <c r="Q128" s="38"/>
      <c r="R128" s="38"/>
      <c r="S128" s="39"/>
      <c r="T128" s="39"/>
      <c r="U128" s="38"/>
      <c r="V128" s="38"/>
      <c r="W128" s="37"/>
      <c r="X128" s="38"/>
      <c r="Y128" s="38"/>
      <c r="Z128" s="37"/>
      <c r="AA128" s="38"/>
      <c r="AB128" s="38"/>
      <c r="AC128" s="40"/>
      <c r="AD128" s="41"/>
      <c r="AE128" s="42" t="str">
        <f aca="false">IF(OR(A128="",NOT(ISNUMBER(AC128)),NOT(ISNUMBER(AD128))),"",IF(AD128&gt;0,AC128/AD128,""))</f>
        <v/>
      </c>
      <c r="AF128" s="42" t="str">
        <f aca="false">IF(OR(A128="",AB128=""),"",IFERROR(INDEX(Arbeitszeitmodelle!$C$5:$C$34,MATCH(AB128,Arbeitszeitmodelle!$A$5:$A$34,0)),""))</f>
        <v/>
      </c>
      <c r="AG128" s="38"/>
      <c r="AH128" s="38"/>
      <c r="AI128" s="38"/>
      <c r="AJ128" s="41"/>
      <c r="AK128" s="41"/>
      <c r="AL128" s="38"/>
      <c r="AM128" s="41"/>
      <c r="AN128" s="38"/>
      <c r="AO128" s="38"/>
      <c r="AP128" s="38"/>
      <c r="AQ128" s="38"/>
      <c r="AR128" s="41"/>
      <c r="AS128" s="40"/>
      <c r="AT128" s="39"/>
      <c r="AU128" s="41"/>
      <c r="AV128" s="43" t="str">
        <f aca="false">IF(OR(A128="",NOT(ISNUMBER(AD128))),"",P_MinUrlaubWerktage/6*AD128)</f>
        <v/>
      </c>
      <c r="AW128" s="43" t="str">
        <f aca="false">IF(A128="","",IF(M128="Ja",P_ZusatzSB*IF(ISNUMBER(AD128),AD128,5)/5,0))</f>
        <v/>
      </c>
      <c r="AX128" s="41"/>
      <c r="AY128" s="39"/>
      <c r="AZ128" s="43" t="str">
        <f aca="false">IF(OR(A128="",NOT(ISNUMBER(AU128))),"",SUM(AU128,AW128,AX128))</f>
        <v/>
      </c>
      <c r="BA128" s="38"/>
      <c r="BB128" s="44"/>
      <c r="BC128" s="44"/>
      <c r="BD128" s="45" t="str">
        <f aca="false">IF(A128="","",IF(BA128="Stundenlohn",IF(ISNUMBER(BC128),BC128,""),IF(AND(ISNUMBER(BB128),ISNUMBER(AC128)),IF(AC128&gt;0,BB128*12/(AC128*52),""),"")))</f>
        <v/>
      </c>
      <c r="BE128" s="46" t="str">
        <f aca="false">IF(OR(A128="",NOT(ISNUMBER(F128))),"",IFERROR(DATEDIF(F128,P_Stichtag,"Y"),""))</f>
        <v/>
      </c>
      <c r="BF128" s="47" t="str">
        <f aca="false">IF(OR(A128="",NOT(ISNUMBER(BE128))),"",IF(BE128&lt;18,"Ja","Nein"))</f>
        <v/>
      </c>
      <c r="BG128" s="48" t="str">
        <f aca="false">IF(A128="","",IF((IF(OR(B128="",C128="",F128="",N128="",Q128="",AB128="",AC128="",AD128="",AU128=""),"Pflichtfelder fehlen; ","")&amp;IF(AND(ISNUMBER(AC128),AC128&gt;P_MaxWoche),"Wochenstunden &gt; Prüfgrenze; ","")&amp;IF(AND(BF128="Ja",ISNUMBER(AC128),AC128&gt;P_MaxWocheJugend),"Jugendlicher &gt; 40 h/Woche; ","")&amp;IF(AND(ISNUMBER(BD128),BD128&lt;P_Mindestlohn,Q128&lt;&gt;"Auszubildende/r",Q128&lt;&gt;"Praktikant/in"),"Mindestlohn unterschritten?; ","")&amp;IF(AND(Q128="Minijob (geringfügig)",ISNUMBER(BB128),BB128&gt;P_Minijob),"Minijob-Grenze überschritten; ","")&amp;IF(AND(R128="Ja",S128=""),"Befristung ohne Enddatum; ","")&amp;IF(AND(ISNUMBER(O128),ISNUMBER(N128),O128&lt;N128),"Austritt vor Eintritt; ","")&amp;IF(AND(ISNUMBER(AU128),ISNUMBER(AV128),AU128&lt;AV128),"Urlaub unter gesetzl. Minimum; ","")&amp;IF(AND(ISNUMBER(AC128),ISNUMBER(AF128),ABS(N(AC128)-N(AF128))&gt;0.01),"Wochenstd. weichen vom Modell ab; ","")&amp;IF(AND(AI128="Ja",OR(AJ128="",AK128="")),"Kontogrenzen fehlen; ","")&amp;IF(AND(AL128="Mit Gehalt abgegolten (Pauschale)",AM128=""),"Überstunden-Pauschale fehlt; ",""))="","OK",IF(OR(B128="",C128="",F128="",N128="",Q128="",AB128="",AC128="",AD128="",AU128=""),"Pflichtfelder fehlen; ","")&amp;IF(AND(ISNUMBER(AC128),AC128&gt;P_MaxWoche),"Wochenstunden &gt; Prüfgrenze; ","")&amp;IF(AND(BF128="Ja",ISNUMBER(AC128),AC128&gt;P_MaxWocheJugend),"Jugendlicher &gt; 40 h/Woche; ","")&amp;IF(AND(ISNUMBER(BD128),BD128&lt;P_Mindestlohn,Q128&lt;&gt;"Auszubildende/r",Q128&lt;&gt;"Praktikant/in"),"Mindestlohn unterschritten?; ","")&amp;IF(AND(Q128="Minijob (geringfügig)",ISNUMBER(BB128),BB128&gt;P_Minijob),"Minijob-Grenze überschritten; ","")&amp;IF(AND(R128="Ja",S128=""),"Befristung ohne Enddatum; ","")&amp;IF(AND(ISNUMBER(O128),ISNUMBER(N128),O128&lt;N128),"Austritt vor Eintritt; ","")&amp;IF(AND(ISNUMBER(AU128),ISNUMBER(AV128),AU128&lt;AV128),"Urlaub unter gesetzl. Minimum; ","")&amp;IF(AND(ISNUMBER(AC128),ISNUMBER(AF128),ABS(N(AC128)-N(AF128))&gt;0.01),"Wochenstd. weichen vom Modell ab; ","")&amp;IF(AND(AI128="Ja",OR(AJ128="",AK128="")),"Kontogrenzen fehlen; ","")&amp;IF(AND(AL128="Mit Gehalt abgegolten (Pauschale)",AM128=""),"Überstunden-Pauschale fehlt; ","")))</f>
        <v/>
      </c>
      <c r="BH128" s="38"/>
    </row>
    <row r="129" customFormat="false" ht="15" hidden="false" customHeight="false" outlineLevel="0" collapsed="false">
      <c r="A129" s="37"/>
      <c r="B129" s="38"/>
      <c r="C129" s="38"/>
      <c r="D129" s="38"/>
      <c r="E129" s="38"/>
      <c r="F129" s="39"/>
      <c r="G129" s="38"/>
      <c r="H129" s="38"/>
      <c r="I129" s="37"/>
      <c r="J129" s="38"/>
      <c r="K129" s="38"/>
      <c r="L129" s="38"/>
      <c r="M129" s="38"/>
      <c r="N129" s="39"/>
      <c r="O129" s="39"/>
      <c r="P129" s="38"/>
      <c r="Q129" s="38"/>
      <c r="R129" s="38"/>
      <c r="S129" s="39"/>
      <c r="T129" s="39"/>
      <c r="U129" s="38"/>
      <c r="V129" s="38"/>
      <c r="W129" s="37"/>
      <c r="X129" s="38"/>
      <c r="Y129" s="38"/>
      <c r="Z129" s="37"/>
      <c r="AA129" s="38"/>
      <c r="AB129" s="38"/>
      <c r="AC129" s="40"/>
      <c r="AD129" s="41"/>
      <c r="AE129" s="42" t="str">
        <f aca="false">IF(OR(A129="",NOT(ISNUMBER(AC129)),NOT(ISNUMBER(AD129))),"",IF(AD129&gt;0,AC129/AD129,""))</f>
        <v/>
      </c>
      <c r="AF129" s="42" t="str">
        <f aca="false">IF(OR(A129="",AB129=""),"",IFERROR(INDEX(Arbeitszeitmodelle!$C$5:$C$34,MATCH(AB129,Arbeitszeitmodelle!$A$5:$A$34,0)),""))</f>
        <v/>
      </c>
      <c r="AG129" s="38"/>
      <c r="AH129" s="38"/>
      <c r="AI129" s="38"/>
      <c r="AJ129" s="41"/>
      <c r="AK129" s="41"/>
      <c r="AL129" s="38"/>
      <c r="AM129" s="41"/>
      <c r="AN129" s="38"/>
      <c r="AO129" s="38"/>
      <c r="AP129" s="38"/>
      <c r="AQ129" s="38"/>
      <c r="AR129" s="41"/>
      <c r="AS129" s="40"/>
      <c r="AT129" s="39"/>
      <c r="AU129" s="41"/>
      <c r="AV129" s="43" t="str">
        <f aca="false">IF(OR(A129="",NOT(ISNUMBER(AD129))),"",P_MinUrlaubWerktage/6*AD129)</f>
        <v/>
      </c>
      <c r="AW129" s="43" t="str">
        <f aca="false">IF(A129="","",IF(M129="Ja",P_ZusatzSB*IF(ISNUMBER(AD129),AD129,5)/5,0))</f>
        <v/>
      </c>
      <c r="AX129" s="41"/>
      <c r="AY129" s="39"/>
      <c r="AZ129" s="43" t="str">
        <f aca="false">IF(OR(A129="",NOT(ISNUMBER(AU129))),"",SUM(AU129,AW129,AX129))</f>
        <v/>
      </c>
      <c r="BA129" s="38"/>
      <c r="BB129" s="44"/>
      <c r="BC129" s="44"/>
      <c r="BD129" s="45" t="str">
        <f aca="false">IF(A129="","",IF(BA129="Stundenlohn",IF(ISNUMBER(BC129),BC129,""),IF(AND(ISNUMBER(BB129),ISNUMBER(AC129)),IF(AC129&gt;0,BB129*12/(AC129*52),""),"")))</f>
        <v/>
      </c>
      <c r="BE129" s="46" t="str">
        <f aca="false">IF(OR(A129="",NOT(ISNUMBER(F129))),"",IFERROR(DATEDIF(F129,P_Stichtag,"Y"),""))</f>
        <v/>
      </c>
      <c r="BF129" s="47" t="str">
        <f aca="false">IF(OR(A129="",NOT(ISNUMBER(BE129))),"",IF(BE129&lt;18,"Ja","Nein"))</f>
        <v/>
      </c>
      <c r="BG129" s="48" t="str">
        <f aca="false">IF(A129="","",IF((IF(OR(B129="",C129="",F129="",N129="",Q129="",AB129="",AC129="",AD129="",AU129=""),"Pflichtfelder fehlen; ","")&amp;IF(AND(ISNUMBER(AC129),AC129&gt;P_MaxWoche),"Wochenstunden &gt; Prüfgrenze; ","")&amp;IF(AND(BF129="Ja",ISNUMBER(AC129),AC129&gt;P_MaxWocheJugend),"Jugendlicher &gt; 40 h/Woche; ","")&amp;IF(AND(ISNUMBER(BD129),BD129&lt;P_Mindestlohn,Q129&lt;&gt;"Auszubildende/r",Q129&lt;&gt;"Praktikant/in"),"Mindestlohn unterschritten?; ","")&amp;IF(AND(Q129="Minijob (geringfügig)",ISNUMBER(BB129),BB129&gt;P_Minijob),"Minijob-Grenze überschritten; ","")&amp;IF(AND(R129="Ja",S129=""),"Befristung ohne Enddatum; ","")&amp;IF(AND(ISNUMBER(O129),ISNUMBER(N129),O129&lt;N129),"Austritt vor Eintritt; ","")&amp;IF(AND(ISNUMBER(AU129),ISNUMBER(AV129),AU129&lt;AV129),"Urlaub unter gesetzl. Minimum; ","")&amp;IF(AND(ISNUMBER(AC129),ISNUMBER(AF129),ABS(N(AC129)-N(AF129))&gt;0.01),"Wochenstd. weichen vom Modell ab; ","")&amp;IF(AND(AI129="Ja",OR(AJ129="",AK129="")),"Kontogrenzen fehlen; ","")&amp;IF(AND(AL129="Mit Gehalt abgegolten (Pauschale)",AM129=""),"Überstunden-Pauschale fehlt; ",""))="","OK",IF(OR(B129="",C129="",F129="",N129="",Q129="",AB129="",AC129="",AD129="",AU129=""),"Pflichtfelder fehlen; ","")&amp;IF(AND(ISNUMBER(AC129),AC129&gt;P_MaxWoche),"Wochenstunden &gt; Prüfgrenze; ","")&amp;IF(AND(BF129="Ja",ISNUMBER(AC129),AC129&gt;P_MaxWocheJugend),"Jugendlicher &gt; 40 h/Woche; ","")&amp;IF(AND(ISNUMBER(BD129),BD129&lt;P_Mindestlohn,Q129&lt;&gt;"Auszubildende/r",Q129&lt;&gt;"Praktikant/in"),"Mindestlohn unterschritten?; ","")&amp;IF(AND(Q129="Minijob (geringfügig)",ISNUMBER(BB129),BB129&gt;P_Minijob),"Minijob-Grenze überschritten; ","")&amp;IF(AND(R129="Ja",S129=""),"Befristung ohne Enddatum; ","")&amp;IF(AND(ISNUMBER(O129),ISNUMBER(N129),O129&lt;N129),"Austritt vor Eintritt; ","")&amp;IF(AND(ISNUMBER(AU129),ISNUMBER(AV129),AU129&lt;AV129),"Urlaub unter gesetzl. Minimum; ","")&amp;IF(AND(ISNUMBER(AC129),ISNUMBER(AF129),ABS(N(AC129)-N(AF129))&gt;0.01),"Wochenstd. weichen vom Modell ab; ","")&amp;IF(AND(AI129="Ja",OR(AJ129="",AK129="")),"Kontogrenzen fehlen; ","")&amp;IF(AND(AL129="Mit Gehalt abgegolten (Pauschale)",AM129=""),"Überstunden-Pauschale fehlt; ","")))</f>
        <v/>
      </c>
      <c r="BH129" s="38"/>
    </row>
    <row r="130" customFormat="false" ht="15" hidden="false" customHeight="false" outlineLevel="0" collapsed="false">
      <c r="A130" s="37"/>
      <c r="B130" s="38"/>
      <c r="C130" s="38"/>
      <c r="D130" s="38"/>
      <c r="E130" s="38"/>
      <c r="F130" s="39"/>
      <c r="G130" s="38"/>
      <c r="H130" s="38"/>
      <c r="I130" s="37"/>
      <c r="J130" s="38"/>
      <c r="K130" s="38"/>
      <c r="L130" s="38"/>
      <c r="M130" s="38"/>
      <c r="N130" s="39"/>
      <c r="O130" s="39"/>
      <c r="P130" s="38"/>
      <c r="Q130" s="38"/>
      <c r="R130" s="38"/>
      <c r="S130" s="39"/>
      <c r="T130" s="39"/>
      <c r="U130" s="38"/>
      <c r="V130" s="38"/>
      <c r="W130" s="37"/>
      <c r="X130" s="38"/>
      <c r="Y130" s="38"/>
      <c r="Z130" s="37"/>
      <c r="AA130" s="38"/>
      <c r="AB130" s="38"/>
      <c r="AC130" s="40"/>
      <c r="AD130" s="41"/>
      <c r="AE130" s="42" t="str">
        <f aca="false">IF(OR(A130="",NOT(ISNUMBER(AC130)),NOT(ISNUMBER(AD130))),"",IF(AD130&gt;0,AC130/AD130,""))</f>
        <v/>
      </c>
      <c r="AF130" s="42" t="str">
        <f aca="false">IF(OR(A130="",AB130=""),"",IFERROR(INDEX(Arbeitszeitmodelle!$C$5:$C$34,MATCH(AB130,Arbeitszeitmodelle!$A$5:$A$34,0)),""))</f>
        <v/>
      </c>
      <c r="AG130" s="38"/>
      <c r="AH130" s="38"/>
      <c r="AI130" s="38"/>
      <c r="AJ130" s="41"/>
      <c r="AK130" s="41"/>
      <c r="AL130" s="38"/>
      <c r="AM130" s="41"/>
      <c r="AN130" s="38"/>
      <c r="AO130" s="38"/>
      <c r="AP130" s="38"/>
      <c r="AQ130" s="38"/>
      <c r="AR130" s="41"/>
      <c r="AS130" s="40"/>
      <c r="AT130" s="39"/>
      <c r="AU130" s="41"/>
      <c r="AV130" s="43" t="str">
        <f aca="false">IF(OR(A130="",NOT(ISNUMBER(AD130))),"",P_MinUrlaubWerktage/6*AD130)</f>
        <v/>
      </c>
      <c r="AW130" s="43" t="str">
        <f aca="false">IF(A130="","",IF(M130="Ja",P_ZusatzSB*IF(ISNUMBER(AD130),AD130,5)/5,0))</f>
        <v/>
      </c>
      <c r="AX130" s="41"/>
      <c r="AY130" s="39"/>
      <c r="AZ130" s="43" t="str">
        <f aca="false">IF(OR(A130="",NOT(ISNUMBER(AU130))),"",SUM(AU130,AW130,AX130))</f>
        <v/>
      </c>
      <c r="BA130" s="38"/>
      <c r="BB130" s="44"/>
      <c r="BC130" s="44"/>
      <c r="BD130" s="45" t="str">
        <f aca="false">IF(A130="","",IF(BA130="Stundenlohn",IF(ISNUMBER(BC130),BC130,""),IF(AND(ISNUMBER(BB130),ISNUMBER(AC130)),IF(AC130&gt;0,BB130*12/(AC130*52),""),"")))</f>
        <v/>
      </c>
      <c r="BE130" s="46" t="str">
        <f aca="false">IF(OR(A130="",NOT(ISNUMBER(F130))),"",IFERROR(DATEDIF(F130,P_Stichtag,"Y"),""))</f>
        <v/>
      </c>
      <c r="BF130" s="47" t="str">
        <f aca="false">IF(OR(A130="",NOT(ISNUMBER(BE130))),"",IF(BE130&lt;18,"Ja","Nein"))</f>
        <v/>
      </c>
      <c r="BG130" s="48" t="str">
        <f aca="false">IF(A130="","",IF((IF(OR(B130="",C130="",F130="",N130="",Q130="",AB130="",AC130="",AD130="",AU130=""),"Pflichtfelder fehlen; ","")&amp;IF(AND(ISNUMBER(AC130),AC130&gt;P_MaxWoche),"Wochenstunden &gt; Prüfgrenze; ","")&amp;IF(AND(BF130="Ja",ISNUMBER(AC130),AC130&gt;P_MaxWocheJugend),"Jugendlicher &gt; 40 h/Woche; ","")&amp;IF(AND(ISNUMBER(BD130),BD130&lt;P_Mindestlohn,Q130&lt;&gt;"Auszubildende/r",Q130&lt;&gt;"Praktikant/in"),"Mindestlohn unterschritten?; ","")&amp;IF(AND(Q130="Minijob (geringfügig)",ISNUMBER(BB130),BB130&gt;P_Minijob),"Minijob-Grenze überschritten; ","")&amp;IF(AND(R130="Ja",S130=""),"Befristung ohne Enddatum; ","")&amp;IF(AND(ISNUMBER(O130),ISNUMBER(N130),O130&lt;N130),"Austritt vor Eintritt; ","")&amp;IF(AND(ISNUMBER(AU130),ISNUMBER(AV130),AU130&lt;AV130),"Urlaub unter gesetzl. Minimum; ","")&amp;IF(AND(ISNUMBER(AC130),ISNUMBER(AF130),ABS(N(AC130)-N(AF130))&gt;0.01),"Wochenstd. weichen vom Modell ab; ","")&amp;IF(AND(AI130="Ja",OR(AJ130="",AK130="")),"Kontogrenzen fehlen; ","")&amp;IF(AND(AL130="Mit Gehalt abgegolten (Pauschale)",AM130=""),"Überstunden-Pauschale fehlt; ",""))="","OK",IF(OR(B130="",C130="",F130="",N130="",Q130="",AB130="",AC130="",AD130="",AU130=""),"Pflichtfelder fehlen; ","")&amp;IF(AND(ISNUMBER(AC130),AC130&gt;P_MaxWoche),"Wochenstunden &gt; Prüfgrenze; ","")&amp;IF(AND(BF130="Ja",ISNUMBER(AC130),AC130&gt;P_MaxWocheJugend),"Jugendlicher &gt; 40 h/Woche; ","")&amp;IF(AND(ISNUMBER(BD130),BD130&lt;P_Mindestlohn,Q130&lt;&gt;"Auszubildende/r",Q130&lt;&gt;"Praktikant/in"),"Mindestlohn unterschritten?; ","")&amp;IF(AND(Q130="Minijob (geringfügig)",ISNUMBER(BB130),BB130&gt;P_Minijob),"Minijob-Grenze überschritten; ","")&amp;IF(AND(R130="Ja",S130=""),"Befristung ohne Enddatum; ","")&amp;IF(AND(ISNUMBER(O130),ISNUMBER(N130),O130&lt;N130),"Austritt vor Eintritt; ","")&amp;IF(AND(ISNUMBER(AU130),ISNUMBER(AV130),AU130&lt;AV130),"Urlaub unter gesetzl. Minimum; ","")&amp;IF(AND(ISNUMBER(AC130),ISNUMBER(AF130),ABS(N(AC130)-N(AF130))&gt;0.01),"Wochenstd. weichen vom Modell ab; ","")&amp;IF(AND(AI130="Ja",OR(AJ130="",AK130="")),"Kontogrenzen fehlen; ","")&amp;IF(AND(AL130="Mit Gehalt abgegolten (Pauschale)",AM130=""),"Überstunden-Pauschale fehlt; ","")))</f>
        <v/>
      </c>
      <c r="BH130" s="38"/>
    </row>
    <row r="131" customFormat="false" ht="15" hidden="false" customHeight="false" outlineLevel="0" collapsed="false">
      <c r="A131" s="37"/>
      <c r="B131" s="38"/>
      <c r="C131" s="38"/>
      <c r="D131" s="38"/>
      <c r="E131" s="38"/>
      <c r="F131" s="39"/>
      <c r="G131" s="38"/>
      <c r="H131" s="38"/>
      <c r="I131" s="37"/>
      <c r="J131" s="38"/>
      <c r="K131" s="38"/>
      <c r="L131" s="38"/>
      <c r="M131" s="38"/>
      <c r="N131" s="39"/>
      <c r="O131" s="39"/>
      <c r="P131" s="38"/>
      <c r="Q131" s="38"/>
      <c r="R131" s="38"/>
      <c r="S131" s="39"/>
      <c r="T131" s="39"/>
      <c r="U131" s="38"/>
      <c r="V131" s="38"/>
      <c r="W131" s="37"/>
      <c r="X131" s="38"/>
      <c r="Y131" s="38"/>
      <c r="Z131" s="37"/>
      <c r="AA131" s="38"/>
      <c r="AB131" s="38"/>
      <c r="AC131" s="40"/>
      <c r="AD131" s="41"/>
      <c r="AE131" s="42" t="str">
        <f aca="false">IF(OR(A131="",NOT(ISNUMBER(AC131)),NOT(ISNUMBER(AD131))),"",IF(AD131&gt;0,AC131/AD131,""))</f>
        <v/>
      </c>
      <c r="AF131" s="42" t="str">
        <f aca="false">IF(OR(A131="",AB131=""),"",IFERROR(INDEX(Arbeitszeitmodelle!$C$5:$C$34,MATCH(AB131,Arbeitszeitmodelle!$A$5:$A$34,0)),""))</f>
        <v/>
      </c>
      <c r="AG131" s="38"/>
      <c r="AH131" s="38"/>
      <c r="AI131" s="38"/>
      <c r="AJ131" s="41"/>
      <c r="AK131" s="41"/>
      <c r="AL131" s="38"/>
      <c r="AM131" s="41"/>
      <c r="AN131" s="38"/>
      <c r="AO131" s="38"/>
      <c r="AP131" s="38"/>
      <c r="AQ131" s="38"/>
      <c r="AR131" s="41"/>
      <c r="AS131" s="40"/>
      <c r="AT131" s="39"/>
      <c r="AU131" s="41"/>
      <c r="AV131" s="43" t="str">
        <f aca="false">IF(OR(A131="",NOT(ISNUMBER(AD131))),"",P_MinUrlaubWerktage/6*AD131)</f>
        <v/>
      </c>
      <c r="AW131" s="43" t="str">
        <f aca="false">IF(A131="","",IF(M131="Ja",P_ZusatzSB*IF(ISNUMBER(AD131),AD131,5)/5,0))</f>
        <v/>
      </c>
      <c r="AX131" s="41"/>
      <c r="AY131" s="39"/>
      <c r="AZ131" s="43" t="str">
        <f aca="false">IF(OR(A131="",NOT(ISNUMBER(AU131))),"",SUM(AU131,AW131,AX131))</f>
        <v/>
      </c>
      <c r="BA131" s="38"/>
      <c r="BB131" s="44"/>
      <c r="BC131" s="44"/>
      <c r="BD131" s="45" t="str">
        <f aca="false">IF(A131="","",IF(BA131="Stundenlohn",IF(ISNUMBER(BC131),BC131,""),IF(AND(ISNUMBER(BB131),ISNUMBER(AC131)),IF(AC131&gt;0,BB131*12/(AC131*52),""),"")))</f>
        <v/>
      </c>
      <c r="BE131" s="46" t="str">
        <f aca="false">IF(OR(A131="",NOT(ISNUMBER(F131))),"",IFERROR(DATEDIF(F131,P_Stichtag,"Y"),""))</f>
        <v/>
      </c>
      <c r="BF131" s="47" t="str">
        <f aca="false">IF(OR(A131="",NOT(ISNUMBER(BE131))),"",IF(BE131&lt;18,"Ja","Nein"))</f>
        <v/>
      </c>
      <c r="BG131" s="48" t="str">
        <f aca="false">IF(A131="","",IF((IF(OR(B131="",C131="",F131="",N131="",Q131="",AB131="",AC131="",AD131="",AU131=""),"Pflichtfelder fehlen; ","")&amp;IF(AND(ISNUMBER(AC131),AC131&gt;P_MaxWoche),"Wochenstunden &gt; Prüfgrenze; ","")&amp;IF(AND(BF131="Ja",ISNUMBER(AC131),AC131&gt;P_MaxWocheJugend),"Jugendlicher &gt; 40 h/Woche; ","")&amp;IF(AND(ISNUMBER(BD131),BD131&lt;P_Mindestlohn,Q131&lt;&gt;"Auszubildende/r",Q131&lt;&gt;"Praktikant/in"),"Mindestlohn unterschritten?; ","")&amp;IF(AND(Q131="Minijob (geringfügig)",ISNUMBER(BB131),BB131&gt;P_Minijob),"Minijob-Grenze überschritten; ","")&amp;IF(AND(R131="Ja",S131=""),"Befristung ohne Enddatum; ","")&amp;IF(AND(ISNUMBER(O131),ISNUMBER(N131),O131&lt;N131),"Austritt vor Eintritt; ","")&amp;IF(AND(ISNUMBER(AU131),ISNUMBER(AV131),AU131&lt;AV131),"Urlaub unter gesetzl. Minimum; ","")&amp;IF(AND(ISNUMBER(AC131),ISNUMBER(AF131),ABS(N(AC131)-N(AF131))&gt;0.01),"Wochenstd. weichen vom Modell ab; ","")&amp;IF(AND(AI131="Ja",OR(AJ131="",AK131="")),"Kontogrenzen fehlen; ","")&amp;IF(AND(AL131="Mit Gehalt abgegolten (Pauschale)",AM131=""),"Überstunden-Pauschale fehlt; ",""))="","OK",IF(OR(B131="",C131="",F131="",N131="",Q131="",AB131="",AC131="",AD131="",AU131=""),"Pflichtfelder fehlen; ","")&amp;IF(AND(ISNUMBER(AC131),AC131&gt;P_MaxWoche),"Wochenstunden &gt; Prüfgrenze; ","")&amp;IF(AND(BF131="Ja",ISNUMBER(AC131),AC131&gt;P_MaxWocheJugend),"Jugendlicher &gt; 40 h/Woche; ","")&amp;IF(AND(ISNUMBER(BD131),BD131&lt;P_Mindestlohn,Q131&lt;&gt;"Auszubildende/r",Q131&lt;&gt;"Praktikant/in"),"Mindestlohn unterschritten?; ","")&amp;IF(AND(Q131="Minijob (geringfügig)",ISNUMBER(BB131),BB131&gt;P_Minijob),"Minijob-Grenze überschritten; ","")&amp;IF(AND(R131="Ja",S131=""),"Befristung ohne Enddatum; ","")&amp;IF(AND(ISNUMBER(O131),ISNUMBER(N131),O131&lt;N131),"Austritt vor Eintritt; ","")&amp;IF(AND(ISNUMBER(AU131),ISNUMBER(AV131),AU131&lt;AV131),"Urlaub unter gesetzl. Minimum; ","")&amp;IF(AND(ISNUMBER(AC131),ISNUMBER(AF131),ABS(N(AC131)-N(AF131))&gt;0.01),"Wochenstd. weichen vom Modell ab; ","")&amp;IF(AND(AI131="Ja",OR(AJ131="",AK131="")),"Kontogrenzen fehlen; ","")&amp;IF(AND(AL131="Mit Gehalt abgegolten (Pauschale)",AM131=""),"Überstunden-Pauschale fehlt; ","")))</f>
        <v/>
      </c>
      <c r="BH131" s="38"/>
    </row>
    <row r="132" customFormat="false" ht="15" hidden="false" customHeight="false" outlineLevel="0" collapsed="false">
      <c r="A132" s="37"/>
      <c r="B132" s="38"/>
      <c r="C132" s="38"/>
      <c r="D132" s="38"/>
      <c r="E132" s="38"/>
      <c r="F132" s="39"/>
      <c r="G132" s="38"/>
      <c r="H132" s="38"/>
      <c r="I132" s="37"/>
      <c r="J132" s="38"/>
      <c r="K132" s="38"/>
      <c r="L132" s="38"/>
      <c r="M132" s="38"/>
      <c r="N132" s="39"/>
      <c r="O132" s="39"/>
      <c r="P132" s="38"/>
      <c r="Q132" s="38"/>
      <c r="R132" s="38"/>
      <c r="S132" s="39"/>
      <c r="T132" s="39"/>
      <c r="U132" s="38"/>
      <c r="V132" s="38"/>
      <c r="W132" s="37"/>
      <c r="X132" s="38"/>
      <c r="Y132" s="38"/>
      <c r="Z132" s="37"/>
      <c r="AA132" s="38"/>
      <c r="AB132" s="38"/>
      <c r="AC132" s="40"/>
      <c r="AD132" s="41"/>
      <c r="AE132" s="42" t="str">
        <f aca="false">IF(OR(A132="",NOT(ISNUMBER(AC132)),NOT(ISNUMBER(AD132))),"",IF(AD132&gt;0,AC132/AD132,""))</f>
        <v/>
      </c>
      <c r="AF132" s="42" t="str">
        <f aca="false">IF(OR(A132="",AB132=""),"",IFERROR(INDEX(Arbeitszeitmodelle!$C$5:$C$34,MATCH(AB132,Arbeitszeitmodelle!$A$5:$A$34,0)),""))</f>
        <v/>
      </c>
      <c r="AG132" s="38"/>
      <c r="AH132" s="38"/>
      <c r="AI132" s="38"/>
      <c r="AJ132" s="41"/>
      <c r="AK132" s="41"/>
      <c r="AL132" s="38"/>
      <c r="AM132" s="41"/>
      <c r="AN132" s="38"/>
      <c r="AO132" s="38"/>
      <c r="AP132" s="38"/>
      <c r="AQ132" s="38"/>
      <c r="AR132" s="41"/>
      <c r="AS132" s="40"/>
      <c r="AT132" s="39"/>
      <c r="AU132" s="41"/>
      <c r="AV132" s="43" t="str">
        <f aca="false">IF(OR(A132="",NOT(ISNUMBER(AD132))),"",P_MinUrlaubWerktage/6*AD132)</f>
        <v/>
      </c>
      <c r="AW132" s="43" t="str">
        <f aca="false">IF(A132="","",IF(M132="Ja",P_ZusatzSB*IF(ISNUMBER(AD132),AD132,5)/5,0))</f>
        <v/>
      </c>
      <c r="AX132" s="41"/>
      <c r="AY132" s="39"/>
      <c r="AZ132" s="43" t="str">
        <f aca="false">IF(OR(A132="",NOT(ISNUMBER(AU132))),"",SUM(AU132,AW132,AX132))</f>
        <v/>
      </c>
      <c r="BA132" s="38"/>
      <c r="BB132" s="44"/>
      <c r="BC132" s="44"/>
      <c r="BD132" s="45" t="str">
        <f aca="false">IF(A132="","",IF(BA132="Stundenlohn",IF(ISNUMBER(BC132),BC132,""),IF(AND(ISNUMBER(BB132),ISNUMBER(AC132)),IF(AC132&gt;0,BB132*12/(AC132*52),""),"")))</f>
        <v/>
      </c>
      <c r="BE132" s="46" t="str">
        <f aca="false">IF(OR(A132="",NOT(ISNUMBER(F132))),"",IFERROR(DATEDIF(F132,P_Stichtag,"Y"),""))</f>
        <v/>
      </c>
      <c r="BF132" s="47" t="str">
        <f aca="false">IF(OR(A132="",NOT(ISNUMBER(BE132))),"",IF(BE132&lt;18,"Ja","Nein"))</f>
        <v/>
      </c>
      <c r="BG132" s="48" t="str">
        <f aca="false">IF(A132="","",IF((IF(OR(B132="",C132="",F132="",N132="",Q132="",AB132="",AC132="",AD132="",AU132=""),"Pflichtfelder fehlen; ","")&amp;IF(AND(ISNUMBER(AC132),AC132&gt;P_MaxWoche),"Wochenstunden &gt; Prüfgrenze; ","")&amp;IF(AND(BF132="Ja",ISNUMBER(AC132),AC132&gt;P_MaxWocheJugend),"Jugendlicher &gt; 40 h/Woche; ","")&amp;IF(AND(ISNUMBER(BD132),BD132&lt;P_Mindestlohn,Q132&lt;&gt;"Auszubildende/r",Q132&lt;&gt;"Praktikant/in"),"Mindestlohn unterschritten?; ","")&amp;IF(AND(Q132="Minijob (geringfügig)",ISNUMBER(BB132),BB132&gt;P_Minijob),"Minijob-Grenze überschritten; ","")&amp;IF(AND(R132="Ja",S132=""),"Befristung ohne Enddatum; ","")&amp;IF(AND(ISNUMBER(O132),ISNUMBER(N132),O132&lt;N132),"Austritt vor Eintritt; ","")&amp;IF(AND(ISNUMBER(AU132),ISNUMBER(AV132),AU132&lt;AV132),"Urlaub unter gesetzl. Minimum; ","")&amp;IF(AND(ISNUMBER(AC132),ISNUMBER(AF132),ABS(N(AC132)-N(AF132))&gt;0.01),"Wochenstd. weichen vom Modell ab; ","")&amp;IF(AND(AI132="Ja",OR(AJ132="",AK132="")),"Kontogrenzen fehlen; ","")&amp;IF(AND(AL132="Mit Gehalt abgegolten (Pauschale)",AM132=""),"Überstunden-Pauschale fehlt; ",""))="","OK",IF(OR(B132="",C132="",F132="",N132="",Q132="",AB132="",AC132="",AD132="",AU132=""),"Pflichtfelder fehlen; ","")&amp;IF(AND(ISNUMBER(AC132),AC132&gt;P_MaxWoche),"Wochenstunden &gt; Prüfgrenze; ","")&amp;IF(AND(BF132="Ja",ISNUMBER(AC132),AC132&gt;P_MaxWocheJugend),"Jugendlicher &gt; 40 h/Woche; ","")&amp;IF(AND(ISNUMBER(BD132),BD132&lt;P_Mindestlohn,Q132&lt;&gt;"Auszubildende/r",Q132&lt;&gt;"Praktikant/in"),"Mindestlohn unterschritten?; ","")&amp;IF(AND(Q132="Minijob (geringfügig)",ISNUMBER(BB132),BB132&gt;P_Minijob),"Minijob-Grenze überschritten; ","")&amp;IF(AND(R132="Ja",S132=""),"Befristung ohne Enddatum; ","")&amp;IF(AND(ISNUMBER(O132),ISNUMBER(N132),O132&lt;N132),"Austritt vor Eintritt; ","")&amp;IF(AND(ISNUMBER(AU132),ISNUMBER(AV132),AU132&lt;AV132),"Urlaub unter gesetzl. Minimum; ","")&amp;IF(AND(ISNUMBER(AC132),ISNUMBER(AF132),ABS(N(AC132)-N(AF132))&gt;0.01),"Wochenstd. weichen vom Modell ab; ","")&amp;IF(AND(AI132="Ja",OR(AJ132="",AK132="")),"Kontogrenzen fehlen; ","")&amp;IF(AND(AL132="Mit Gehalt abgegolten (Pauschale)",AM132=""),"Überstunden-Pauschale fehlt; ","")))</f>
        <v/>
      </c>
      <c r="BH132" s="38"/>
    </row>
    <row r="133" customFormat="false" ht="15" hidden="false" customHeight="false" outlineLevel="0" collapsed="false">
      <c r="A133" s="37"/>
      <c r="B133" s="38"/>
      <c r="C133" s="38"/>
      <c r="D133" s="38"/>
      <c r="E133" s="38"/>
      <c r="F133" s="39"/>
      <c r="G133" s="38"/>
      <c r="H133" s="38"/>
      <c r="I133" s="37"/>
      <c r="J133" s="38"/>
      <c r="K133" s="38"/>
      <c r="L133" s="38"/>
      <c r="M133" s="38"/>
      <c r="N133" s="39"/>
      <c r="O133" s="39"/>
      <c r="P133" s="38"/>
      <c r="Q133" s="38"/>
      <c r="R133" s="38"/>
      <c r="S133" s="39"/>
      <c r="T133" s="39"/>
      <c r="U133" s="38"/>
      <c r="V133" s="38"/>
      <c r="W133" s="37"/>
      <c r="X133" s="38"/>
      <c r="Y133" s="38"/>
      <c r="Z133" s="37"/>
      <c r="AA133" s="38"/>
      <c r="AB133" s="38"/>
      <c r="AC133" s="40"/>
      <c r="AD133" s="41"/>
      <c r="AE133" s="42" t="str">
        <f aca="false">IF(OR(A133="",NOT(ISNUMBER(AC133)),NOT(ISNUMBER(AD133))),"",IF(AD133&gt;0,AC133/AD133,""))</f>
        <v/>
      </c>
      <c r="AF133" s="42" t="str">
        <f aca="false">IF(OR(A133="",AB133=""),"",IFERROR(INDEX(Arbeitszeitmodelle!$C$5:$C$34,MATCH(AB133,Arbeitszeitmodelle!$A$5:$A$34,0)),""))</f>
        <v/>
      </c>
      <c r="AG133" s="38"/>
      <c r="AH133" s="38"/>
      <c r="AI133" s="38"/>
      <c r="AJ133" s="41"/>
      <c r="AK133" s="41"/>
      <c r="AL133" s="38"/>
      <c r="AM133" s="41"/>
      <c r="AN133" s="38"/>
      <c r="AO133" s="38"/>
      <c r="AP133" s="38"/>
      <c r="AQ133" s="38"/>
      <c r="AR133" s="41"/>
      <c r="AS133" s="40"/>
      <c r="AT133" s="39"/>
      <c r="AU133" s="41"/>
      <c r="AV133" s="43" t="str">
        <f aca="false">IF(OR(A133="",NOT(ISNUMBER(AD133))),"",P_MinUrlaubWerktage/6*AD133)</f>
        <v/>
      </c>
      <c r="AW133" s="43" t="str">
        <f aca="false">IF(A133="","",IF(M133="Ja",P_ZusatzSB*IF(ISNUMBER(AD133),AD133,5)/5,0))</f>
        <v/>
      </c>
      <c r="AX133" s="41"/>
      <c r="AY133" s="39"/>
      <c r="AZ133" s="43" t="str">
        <f aca="false">IF(OR(A133="",NOT(ISNUMBER(AU133))),"",SUM(AU133,AW133,AX133))</f>
        <v/>
      </c>
      <c r="BA133" s="38"/>
      <c r="BB133" s="44"/>
      <c r="BC133" s="44"/>
      <c r="BD133" s="45" t="str">
        <f aca="false">IF(A133="","",IF(BA133="Stundenlohn",IF(ISNUMBER(BC133),BC133,""),IF(AND(ISNUMBER(BB133),ISNUMBER(AC133)),IF(AC133&gt;0,BB133*12/(AC133*52),""),"")))</f>
        <v/>
      </c>
      <c r="BE133" s="46" t="str">
        <f aca="false">IF(OR(A133="",NOT(ISNUMBER(F133))),"",IFERROR(DATEDIF(F133,P_Stichtag,"Y"),""))</f>
        <v/>
      </c>
      <c r="BF133" s="47" t="str">
        <f aca="false">IF(OR(A133="",NOT(ISNUMBER(BE133))),"",IF(BE133&lt;18,"Ja","Nein"))</f>
        <v/>
      </c>
      <c r="BG133" s="48" t="str">
        <f aca="false">IF(A133="","",IF((IF(OR(B133="",C133="",F133="",N133="",Q133="",AB133="",AC133="",AD133="",AU133=""),"Pflichtfelder fehlen; ","")&amp;IF(AND(ISNUMBER(AC133),AC133&gt;P_MaxWoche),"Wochenstunden &gt; Prüfgrenze; ","")&amp;IF(AND(BF133="Ja",ISNUMBER(AC133),AC133&gt;P_MaxWocheJugend),"Jugendlicher &gt; 40 h/Woche; ","")&amp;IF(AND(ISNUMBER(BD133),BD133&lt;P_Mindestlohn,Q133&lt;&gt;"Auszubildende/r",Q133&lt;&gt;"Praktikant/in"),"Mindestlohn unterschritten?; ","")&amp;IF(AND(Q133="Minijob (geringfügig)",ISNUMBER(BB133),BB133&gt;P_Minijob),"Minijob-Grenze überschritten; ","")&amp;IF(AND(R133="Ja",S133=""),"Befristung ohne Enddatum; ","")&amp;IF(AND(ISNUMBER(O133),ISNUMBER(N133),O133&lt;N133),"Austritt vor Eintritt; ","")&amp;IF(AND(ISNUMBER(AU133),ISNUMBER(AV133),AU133&lt;AV133),"Urlaub unter gesetzl. Minimum; ","")&amp;IF(AND(ISNUMBER(AC133),ISNUMBER(AF133),ABS(N(AC133)-N(AF133))&gt;0.01),"Wochenstd. weichen vom Modell ab; ","")&amp;IF(AND(AI133="Ja",OR(AJ133="",AK133="")),"Kontogrenzen fehlen; ","")&amp;IF(AND(AL133="Mit Gehalt abgegolten (Pauschale)",AM133=""),"Überstunden-Pauschale fehlt; ",""))="","OK",IF(OR(B133="",C133="",F133="",N133="",Q133="",AB133="",AC133="",AD133="",AU133=""),"Pflichtfelder fehlen; ","")&amp;IF(AND(ISNUMBER(AC133),AC133&gt;P_MaxWoche),"Wochenstunden &gt; Prüfgrenze; ","")&amp;IF(AND(BF133="Ja",ISNUMBER(AC133),AC133&gt;P_MaxWocheJugend),"Jugendlicher &gt; 40 h/Woche; ","")&amp;IF(AND(ISNUMBER(BD133),BD133&lt;P_Mindestlohn,Q133&lt;&gt;"Auszubildende/r",Q133&lt;&gt;"Praktikant/in"),"Mindestlohn unterschritten?; ","")&amp;IF(AND(Q133="Minijob (geringfügig)",ISNUMBER(BB133),BB133&gt;P_Minijob),"Minijob-Grenze überschritten; ","")&amp;IF(AND(R133="Ja",S133=""),"Befristung ohne Enddatum; ","")&amp;IF(AND(ISNUMBER(O133),ISNUMBER(N133),O133&lt;N133),"Austritt vor Eintritt; ","")&amp;IF(AND(ISNUMBER(AU133),ISNUMBER(AV133),AU133&lt;AV133),"Urlaub unter gesetzl. Minimum; ","")&amp;IF(AND(ISNUMBER(AC133),ISNUMBER(AF133),ABS(N(AC133)-N(AF133))&gt;0.01),"Wochenstd. weichen vom Modell ab; ","")&amp;IF(AND(AI133="Ja",OR(AJ133="",AK133="")),"Kontogrenzen fehlen; ","")&amp;IF(AND(AL133="Mit Gehalt abgegolten (Pauschale)",AM133=""),"Überstunden-Pauschale fehlt; ","")))</f>
        <v/>
      </c>
      <c r="BH133" s="38"/>
    </row>
    <row r="134" customFormat="false" ht="15" hidden="false" customHeight="false" outlineLevel="0" collapsed="false">
      <c r="A134" s="37"/>
      <c r="B134" s="38"/>
      <c r="C134" s="38"/>
      <c r="D134" s="38"/>
      <c r="E134" s="38"/>
      <c r="F134" s="39"/>
      <c r="G134" s="38"/>
      <c r="H134" s="38"/>
      <c r="I134" s="37"/>
      <c r="J134" s="38"/>
      <c r="K134" s="38"/>
      <c r="L134" s="38"/>
      <c r="M134" s="38"/>
      <c r="N134" s="39"/>
      <c r="O134" s="39"/>
      <c r="P134" s="38"/>
      <c r="Q134" s="38"/>
      <c r="R134" s="38"/>
      <c r="S134" s="39"/>
      <c r="T134" s="39"/>
      <c r="U134" s="38"/>
      <c r="V134" s="38"/>
      <c r="W134" s="37"/>
      <c r="X134" s="38"/>
      <c r="Y134" s="38"/>
      <c r="Z134" s="37"/>
      <c r="AA134" s="38"/>
      <c r="AB134" s="38"/>
      <c r="AC134" s="40"/>
      <c r="AD134" s="41"/>
      <c r="AE134" s="42" t="str">
        <f aca="false">IF(OR(A134="",NOT(ISNUMBER(AC134)),NOT(ISNUMBER(AD134))),"",IF(AD134&gt;0,AC134/AD134,""))</f>
        <v/>
      </c>
      <c r="AF134" s="42" t="str">
        <f aca="false">IF(OR(A134="",AB134=""),"",IFERROR(INDEX(Arbeitszeitmodelle!$C$5:$C$34,MATCH(AB134,Arbeitszeitmodelle!$A$5:$A$34,0)),""))</f>
        <v/>
      </c>
      <c r="AG134" s="38"/>
      <c r="AH134" s="38"/>
      <c r="AI134" s="38"/>
      <c r="AJ134" s="41"/>
      <c r="AK134" s="41"/>
      <c r="AL134" s="38"/>
      <c r="AM134" s="41"/>
      <c r="AN134" s="38"/>
      <c r="AO134" s="38"/>
      <c r="AP134" s="38"/>
      <c r="AQ134" s="38"/>
      <c r="AR134" s="41"/>
      <c r="AS134" s="40"/>
      <c r="AT134" s="39"/>
      <c r="AU134" s="41"/>
      <c r="AV134" s="43" t="str">
        <f aca="false">IF(OR(A134="",NOT(ISNUMBER(AD134))),"",P_MinUrlaubWerktage/6*AD134)</f>
        <v/>
      </c>
      <c r="AW134" s="43" t="str">
        <f aca="false">IF(A134="","",IF(M134="Ja",P_ZusatzSB*IF(ISNUMBER(AD134),AD134,5)/5,0))</f>
        <v/>
      </c>
      <c r="AX134" s="41"/>
      <c r="AY134" s="39"/>
      <c r="AZ134" s="43" t="str">
        <f aca="false">IF(OR(A134="",NOT(ISNUMBER(AU134))),"",SUM(AU134,AW134,AX134))</f>
        <v/>
      </c>
      <c r="BA134" s="38"/>
      <c r="BB134" s="44"/>
      <c r="BC134" s="44"/>
      <c r="BD134" s="45" t="str">
        <f aca="false">IF(A134="","",IF(BA134="Stundenlohn",IF(ISNUMBER(BC134),BC134,""),IF(AND(ISNUMBER(BB134),ISNUMBER(AC134)),IF(AC134&gt;0,BB134*12/(AC134*52),""),"")))</f>
        <v/>
      </c>
      <c r="BE134" s="46" t="str">
        <f aca="false">IF(OR(A134="",NOT(ISNUMBER(F134))),"",IFERROR(DATEDIF(F134,P_Stichtag,"Y"),""))</f>
        <v/>
      </c>
      <c r="BF134" s="47" t="str">
        <f aca="false">IF(OR(A134="",NOT(ISNUMBER(BE134))),"",IF(BE134&lt;18,"Ja","Nein"))</f>
        <v/>
      </c>
      <c r="BG134" s="48" t="str">
        <f aca="false">IF(A134="","",IF((IF(OR(B134="",C134="",F134="",N134="",Q134="",AB134="",AC134="",AD134="",AU134=""),"Pflichtfelder fehlen; ","")&amp;IF(AND(ISNUMBER(AC134),AC134&gt;P_MaxWoche),"Wochenstunden &gt; Prüfgrenze; ","")&amp;IF(AND(BF134="Ja",ISNUMBER(AC134),AC134&gt;P_MaxWocheJugend),"Jugendlicher &gt; 40 h/Woche; ","")&amp;IF(AND(ISNUMBER(BD134),BD134&lt;P_Mindestlohn,Q134&lt;&gt;"Auszubildende/r",Q134&lt;&gt;"Praktikant/in"),"Mindestlohn unterschritten?; ","")&amp;IF(AND(Q134="Minijob (geringfügig)",ISNUMBER(BB134),BB134&gt;P_Minijob),"Minijob-Grenze überschritten; ","")&amp;IF(AND(R134="Ja",S134=""),"Befristung ohne Enddatum; ","")&amp;IF(AND(ISNUMBER(O134),ISNUMBER(N134),O134&lt;N134),"Austritt vor Eintritt; ","")&amp;IF(AND(ISNUMBER(AU134),ISNUMBER(AV134),AU134&lt;AV134),"Urlaub unter gesetzl. Minimum; ","")&amp;IF(AND(ISNUMBER(AC134),ISNUMBER(AF134),ABS(N(AC134)-N(AF134))&gt;0.01),"Wochenstd. weichen vom Modell ab; ","")&amp;IF(AND(AI134="Ja",OR(AJ134="",AK134="")),"Kontogrenzen fehlen; ","")&amp;IF(AND(AL134="Mit Gehalt abgegolten (Pauschale)",AM134=""),"Überstunden-Pauschale fehlt; ",""))="","OK",IF(OR(B134="",C134="",F134="",N134="",Q134="",AB134="",AC134="",AD134="",AU134=""),"Pflichtfelder fehlen; ","")&amp;IF(AND(ISNUMBER(AC134),AC134&gt;P_MaxWoche),"Wochenstunden &gt; Prüfgrenze; ","")&amp;IF(AND(BF134="Ja",ISNUMBER(AC134),AC134&gt;P_MaxWocheJugend),"Jugendlicher &gt; 40 h/Woche; ","")&amp;IF(AND(ISNUMBER(BD134),BD134&lt;P_Mindestlohn,Q134&lt;&gt;"Auszubildende/r",Q134&lt;&gt;"Praktikant/in"),"Mindestlohn unterschritten?; ","")&amp;IF(AND(Q134="Minijob (geringfügig)",ISNUMBER(BB134),BB134&gt;P_Minijob),"Minijob-Grenze überschritten; ","")&amp;IF(AND(R134="Ja",S134=""),"Befristung ohne Enddatum; ","")&amp;IF(AND(ISNUMBER(O134),ISNUMBER(N134),O134&lt;N134),"Austritt vor Eintritt; ","")&amp;IF(AND(ISNUMBER(AU134),ISNUMBER(AV134),AU134&lt;AV134),"Urlaub unter gesetzl. Minimum; ","")&amp;IF(AND(ISNUMBER(AC134),ISNUMBER(AF134),ABS(N(AC134)-N(AF134))&gt;0.01),"Wochenstd. weichen vom Modell ab; ","")&amp;IF(AND(AI134="Ja",OR(AJ134="",AK134="")),"Kontogrenzen fehlen; ","")&amp;IF(AND(AL134="Mit Gehalt abgegolten (Pauschale)",AM134=""),"Überstunden-Pauschale fehlt; ","")))</f>
        <v/>
      </c>
      <c r="BH134" s="38"/>
    </row>
    <row r="135" customFormat="false" ht="15" hidden="false" customHeight="false" outlineLevel="0" collapsed="false">
      <c r="A135" s="37"/>
      <c r="B135" s="38"/>
      <c r="C135" s="38"/>
      <c r="D135" s="38"/>
      <c r="E135" s="38"/>
      <c r="F135" s="39"/>
      <c r="G135" s="38"/>
      <c r="H135" s="38"/>
      <c r="I135" s="37"/>
      <c r="J135" s="38"/>
      <c r="K135" s="38"/>
      <c r="L135" s="38"/>
      <c r="M135" s="38"/>
      <c r="N135" s="39"/>
      <c r="O135" s="39"/>
      <c r="P135" s="38"/>
      <c r="Q135" s="38"/>
      <c r="R135" s="38"/>
      <c r="S135" s="39"/>
      <c r="T135" s="39"/>
      <c r="U135" s="38"/>
      <c r="V135" s="38"/>
      <c r="W135" s="37"/>
      <c r="X135" s="38"/>
      <c r="Y135" s="38"/>
      <c r="Z135" s="37"/>
      <c r="AA135" s="38"/>
      <c r="AB135" s="38"/>
      <c r="AC135" s="40"/>
      <c r="AD135" s="41"/>
      <c r="AE135" s="42" t="str">
        <f aca="false">IF(OR(A135="",NOT(ISNUMBER(AC135)),NOT(ISNUMBER(AD135))),"",IF(AD135&gt;0,AC135/AD135,""))</f>
        <v/>
      </c>
      <c r="AF135" s="42" t="str">
        <f aca="false">IF(OR(A135="",AB135=""),"",IFERROR(INDEX(Arbeitszeitmodelle!$C$5:$C$34,MATCH(AB135,Arbeitszeitmodelle!$A$5:$A$34,0)),""))</f>
        <v/>
      </c>
      <c r="AG135" s="38"/>
      <c r="AH135" s="38"/>
      <c r="AI135" s="38"/>
      <c r="AJ135" s="41"/>
      <c r="AK135" s="41"/>
      <c r="AL135" s="38"/>
      <c r="AM135" s="41"/>
      <c r="AN135" s="38"/>
      <c r="AO135" s="38"/>
      <c r="AP135" s="38"/>
      <c r="AQ135" s="38"/>
      <c r="AR135" s="41"/>
      <c r="AS135" s="40"/>
      <c r="AT135" s="39"/>
      <c r="AU135" s="41"/>
      <c r="AV135" s="43" t="str">
        <f aca="false">IF(OR(A135="",NOT(ISNUMBER(AD135))),"",P_MinUrlaubWerktage/6*AD135)</f>
        <v/>
      </c>
      <c r="AW135" s="43" t="str">
        <f aca="false">IF(A135="","",IF(M135="Ja",P_ZusatzSB*IF(ISNUMBER(AD135),AD135,5)/5,0))</f>
        <v/>
      </c>
      <c r="AX135" s="41"/>
      <c r="AY135" s="39"/>
      <c r="AZ135" s="43" t="str">
        <f aca="false">IF(OR(A135="",NOT(ISNUMBER(AU135))),"",SUM(AU135,AW135,AX135))</f>
        <v/>
      </c>
      <c r="BA135" s="38"/>
      <c r="BB135" s="44"/>
      <c r="BC135" s="44"/>
      <c r="BD135" s="45" t="str">
        <f aca="false">IF(A135="","",IF(BA135="Stundenlohn",IF(ISNUMBER(BC135),BC135,""),IF(AND(ISNUMBER(BB135),ISNUMBER(AC135)),IF(AC135&gt;0,BB135*12/(AC135*52),""),"")))</f>
        <v/>
      </c>
      <c r="BE135" s="46" t="str">
        <f aca="false">IF(OR(A135="",NOT(ISNUMBER(F135))),"",IFERROR(DATEDIF(F135,P_Stichtag,"Y"),""))</f>
        <v/>
      </c>
      <c r="BF135" s="47" t="str">
        <f aca="false">IF(OR(A135="",NOT(ISNUMBER(BE135))),"",IF(BE135&lt;18,"Ja","Nein"))</f>
        <v/>
      </c>
      <c r="BG135" s="48" t="str">
        <f aca="false">IF(A135="","",IF((IF(OR(B135="",C135="",F135="",N135="",Q135="",AB135="",AC135="",AD135="",AU135=""),"Pflichtfelder fehlen; ","")&amp;IF(AND(ISNUMBER(AC135),AC135&gt;P_MaxWoche),"Wochenstunden &gt; Prüfgrenze; ","")&amp;IF(AND(BF135="Ja",ISNUMBER(AC135),AC135&gt;P_MaxWocheJugend),"Jugendlicher &gt; 40 h/Woche; ","")&amp;IF(AND(ISNUMBER(BD135),BD135&lt;P_Mindestlohn,Q135&lt;&gt;"Auszubildende/r",Q135&lt;&gt;"Praktikant/in"),"Mindestlohn unterschritten?; ","")&amp;IF(AND(Q135="Minijob (geringfügig)",ISNUMBER(BB135),BB135&gt;P_Minijob),"Minijob-Grenze überschritten; ","")&amp;IF(AND(R135="Ja",S135=""),"Befristung ohne Enddatum; ","")&amp;IF(AND(ISNUMBER(O135),ISNUMBER(N135),O135&lt;N135),"Austritt vor Eintritt; ","")&amp;IF(AND(ISNUMBER(AU135),ISNUMBER(AV135),AU135&lt;AV135),"Urlaub unter gesetzl. Minimum; ","")&amp;IF(AND(ISNUMBER(AC135),ISNUMBER(AF135),ABS(N(AC135)-N(AF135))&gt;0.01),"Wochenstd. weichen vom Modell ab; ","")&amp;IF(AND(AI135="Ja",OR(AJ135="",AK135="")),"Kontogrenzen fehlen; ","")&amp;IF(AND(AL135="Mit Gehalt abgegolten (Pauschale)",AM135=""),"Überstunden-Pauschale fehlt; ",""))="","OK",IF(OR(B135="",C135="",F135="",N135="",Q135="",AB135="",AC135="",AD135="",AU135=""),"Pflichtfelder fehlen; ","")&amp;IF(AND(ISNUMBER(AC135),AC135&gt;P_MaxWoche),"Wochenstunden &gt; Prüfgrenze; ","")&amp;IF(AND(BF135="Ja",ISNUMBER(AC135),AC135&gt;P_MaxWocheJugend),"Jugendlicher &gt; 40 h/Woche; ","")&amp;IF(AND(ISNUMBER(BD135),BD135&lt;P_Mindestlohn,Q135&lt;&gt;"Auszubildende/r",Q135&lt;&gt;"Praktikant/in"),"Mindestlohn unterschritten?; ","")&amp;IF(AND(Q135="Minijob (geringfügig)",ISNUMBER(BB135),BB135&gt;P_Minijob),"Minijob-Grenze überschritten; ","")&amp;IF(AND(R135="Ja",S135=""),"Befristung ohne Enddatum; ","")&amp;IF(AND(ISNUMBER(O135),ISNUMBER(N135),O135&lt;N135),"Austritt vor Eintritt; ","")&amp;IF(AND(ISNUMBER(AU135),ISNUMBER(AV135),AU135&lt;AV135),"Urlaub unter gesetzl. Minimum; ","")&amp;IF(AND(ISNUMBER(AC135),ISNUMBER(AF135),ABS(N(AC135)-N(AF135))&gt;0.01),"Wochenstd. weichen vom Modell ab; ","")&amp;IF(AND(AI135="Ja",OR(AJ135="",AK135="")),"Kontogrenzen fehlen; ","")&amp;IF(AND(AL135="Mit Gehalt abgegolten (Pauschale)",AM135=""),"Überstunden-Pauschale fehlt; ","")))</f>
        <v/>
      </c>
      <c r="BH135" s="38"/>
    </row>
    <row r="136" customFormat="false" ht="15" hidden="false" customHeight="false" outlineLevel="0" collapsed="false">
      <c r="A136" s="37"/>
      <c r="B136" s="38"/>
      <c r="C136" s="38"/>
      <c r="D136" s="38"/>
      <c r="E136" s="38"/>
      <c r="F136" s="39"/>
      <c r="G136" s="38"/>
      <c r="H136" s="38"/>
      <c r="I136" s="37"/>
      <c r="J136" s="38"/>
      <c r="K136" s="38"/>
      <c r="L136" s="38"/>
      <c r="M136" s="38"/>
      <c r="N136" s="39"/>
      <c r="O136" s="39"/>
      <c r="P136" s="38"/>
      <c r="Q136" s="38"/>
      <c r="R136" s="38"/>
      <c r="S136" s="39"/>
      <c r="T136" s="39"/>
      <c r="U136" s="38"/>
      <c r="V136" s="38"/>
      <c r="W136" s="37"/>
      <c r="X136" s="38"/>
      <c r="Y136" s="38"/>
      <c r="Z136" s="37"/>
      <c r="AA136" s="38"/>
      <c r="AB136" s="38"/>
      <c r="AC136" s="40"/>
      <c r="AD136" s="41"/>
      <c r="AE136" s="42" t="str">
        <f aca="false">IF(OR(A136="",NOT(ISNUMBER(AC136)),NOT(ISNUMBER(AD136))),"",IF(AD136&gt;0,AC136/AD136,""))</f>
        <v/>
      </c>
      <c r="AF136" s="42" t="str">
        <f aca="false">IF(OR(A136="",AB136=""),"",IFERROR(INDEX(Arbeitszeitmodelle!$C$5:$C$34,MATCH(AB136,Arbeitszeitmodelle!$A$5:$A$34,0)),""))</f>
        <v/>
      </c>
      <c r="AG136" s="38"/>
      <c r="AH136" s="38"/>
      <c r="AI136" s="38"/>
      <c r="AJ136" s="41"/>
      <c r="AK136" s="41"/>
      <c r="AL136" s="38"/>
      <c r="AM136" s="41"/>
      <c r="AN136" s="38"/>
      <c r="AO136" s="38"/>
      <c r="AP136" s="38"/>
      <c r="AQ136" s="38"/>
      <c r="AR136" s="41"/>
      <c r="AS136" s="40"/>
      <c r="AT136" s="39"/>
      <c r="AU136" s="41"/>
      <c r="AV136" s="43" t="str">
        <f aca="false">IF(OR(A136="",NOT(ISNUMBER(AD136))),"",P_MinUrlaubWerktage/6*AD136)</f>
        <v/>
      </c>
      <c r="AW136" s="43" t="str">
        <f aca="false">IF(A136="","",IF(M136="Ja",P_ZusatzSB*IF(ISNUMBER(AD136),AD136,5)/5,0))</f>
        <v/>
      </c>
      <c r="AX136" s="41"/>
      <c r="AY136" s="39"/>
      <c r="AZ136" s="43" t="str">
        <f aca="false">IF(OR(A136="",NOT(ISNUMBER(AU136))),"",SUM(AU136,AW136,AX136))</f>
        <v/>
      </c>
      <c r="BA136" s="38"/>
      <c r="BB136" s="44"/>
      <c r="BC136" s="44"/>
      <c r="BD136" s="45" t="str">
        <f aca="false">IF(A136="","",IF(BA136="Stundenlohn",IF(ISNUMBER(BC136),BC136,""),IF(AND(ISNUMBER(BB136),ISNUMBER(AC136)),IF(AC136&gt;0,BB136*12/(AC136*52),""),"")))</f>
        <v/>
      </c>
      <c r="BE136" s="46" t="str">
        <f aca="false">IF(OR(A136="",NOT(ISNUMBER(F136))),"",IFERROR(DATEDIF(F136,P_Stichtag,"Y"),""))</f>
        <v/>
      </c>
      <c r="BF136" s="47" t="str">
        <f aca="false">IF(OR(A136="",NOT(ISNUMBER(BE136))),"",IF(BE136&lt;18,"Ja","Nein"))</f>
        <v/>
      </c>
      <c r="BG136" s="48" t="str">
        <f aca="false">IF(A136="","",IF((IF(OR(B136="",C136="",F136="",N136="",Q136="",AB136="",AC136="",AD136="",AU136=""),"Pflichtfelder fehlen; ","")&amp;IF(AND(ISNUMBER(AC136),AC136&gt;P_MaxWoche),"Wochenstunden &gt; Prüfgrenze; ","")&amp;IF(AND(BF136="Ja",ISNUMBER(AC136),AC136&gt;P_MaxWocheJugend),"Jugendlicher &gt; 40 h/Woche; ","")&amp;IF(AND(ISNUMBER(BD136),BD136&lt;P_Mindestlohn,Q136&lt;&gt;"Auszubildende/r",Q136&lt;&gt;"Praktikant/in"),"Mindestlohn unterschritten?; ","")&amp;IF(AND(Q136="Minijob (geringfügig)",ISNUMBER(BB136),BB136&gt;P_Minijob),"Minijob-Grenze überschritten; ","")&amp;IF(AND(R136="Ja",S136=""),"Befristung ohne Enddatum; ","")&amp;IF(AND(ISNUMBER(O136),ISNUMBER(N136),O136&lt;N136),"Austritt vor Eintritt; ","")&amp;IF(AND(ISNUMBER(AU136),ISNUMBER(AV136),AU136&lt;AV136),"Urlaub unter gesetzl. Minimum; ","")&amp;IF(AND(ISNUMBER(AC136),ISNUMBER(AF136),ABS(N(AC136)-N(AF136))&gt;0.01),"Wochenstd. weichen vom Modell ab; ","")&amp;IF(AND(AI136="Ja",OR(AJ136="",AK136="")),"Kontogrenzen fehlen; ","")&amp;IF(AND(AL136="Mit Gehalt abgegolten (Pauschale)",AM136=""),"Überstunden-Pauschale fehlt; ",""))="","OK",IF(OR(B136="",C136="",F136="",N136="",Q136="",AB136="",AC136="",AD136="",AU136=""),"Pflichtfelder fehlen; ","")&amp;IF(AND(ISNUMBER(AC136),AC136&gt;P_MaxWoche),"Wochenstunden &gt; Prüfgrenze; ","")&amp;IF(AND(BF136="Ja",ISNUMBER(AC136),AC136&gt;P_MaxWocheJugend),"Jugendlicher &gt; 40 h/Woche; ","")&amp;IF(AND(ISNUMBER(BD136),BD136&lt;P_Mindestlohn,Q136&lt;&gt;"Auszubildende/r",Q136&lt;&gt;"Praktikant/in"),"Mindestlohn unterschritten?; ","")&amp;IF(AND(Q136="Minijob (geringfügig)",ISNUMBER(BB136),BB136&gt;P_Minijob),"Minijob-Grenze überschritten; ","")&amp;IF(AND(R136="Ja",S136=""),"Befristung ohne Enddatum; ","")&amp;IF(AND(ISNUMBER(O136),ISNUMBER(N136),O136&lt;N136),"Austritt vor Eintritt; ","")&amp;IF(AND(ISNUMBER(AU136),ISNUMBER(AV136),AU136&lt;AV136),"Urlaub unter gesetzl. Minimum; ","")&amp;IF(AND(ISNUMBER(AC136),ISNUMBER(AF136),ABS(N(AC136)-N(AF136))&gt;0.01),"Wochenstd. weichen vom Modell ab; ","")&amp;IF(AND(AI136="Ja",OR(AJ136="",AK136="")),"Kontogrenzen fehlen; ","")&amp;IF(AND(AL136="Mit Gehalt abgegolten (Pauschale)",AM136=""),"Überstunden-Pauschale fehlt; ","")))</f>
        <v/>
      </c>
      <c r="BH136" s="38"/>
    </row>
    <row r="137" customFormat="false" ht="15" hidden="false" customHeight="false" outlineLevel="0" collapsed="false">
      <c r="A137" s="37"/>
      <c r="B137" s="38"/>
      <c r="C137" s="38"/>
      <c r="D137" s="38"/>
      <c r="E137" s="38"/>
      <c r="F137" s="39"/>
      <c r="G137" s="38"/>
      <c r="H137" s="38"/>
      <c r="I137" s="37"/>
      <c r="J137" s="38"/>
      <c r="K137" s="38"/>
      <c r="L137" s="38"/>
      <c r="M137" s="38"/>
      <c r="N137" s="39"/>
      <c r="O137" s="39"/>
      <c r="P137" s="38"/>
      <c r="Q137" s="38"/>
      <c r="R137" s="38"/>
      <c r="S137" s="39"/>
      <c r="T137" s="39"/>
      <c r="U137" s="38"/>
      <c r="V137" s="38"/>
      <c r="W137" s="37"/>
      <c r="X137" s="38"/>
      <c r="Y137" s="38"/>
      <c r="Z137" s="37"/>
      <c r="AA137" s="38"/>
      <c r="AB137" s="38"/>
      <c r="AC137" s="40"/>
      <c r="AD137" s="41"/>
      <c r="AE137" s="42" t="str">
        <f aca="false">IF(OR(A137="",NOT(ISNUMBER(AC137)),NOT(ISNUMBER(AD137))),"",IF(AD137&gt;0,AC137/AD137,""))</f>
        <v/>
      </c>
      <c r="AF137" s="42" t="str">
        <f aca="false">IF(OR(A137="",AB137=""),"",IFERROR(INDEX(Arbeitszeitmodelle!$C$5:$C$34,MATCH(AB137,Arbeitszeitmodelle!$A$5:$A$34,0)),""))</f>
        <v/>
      </c>
      <c r="AG137" s="38"/>
      <c r="AH137" s="38"/>
      <c r="AI137" s="38"/>
      <c r="AJ137" s="41"/>
      <c r="AK137" s="41"/>
      <c r="AL137" s="38"/>
      <c r="AM137" s="41"/>
      <c r="AN137" s="38"/>
      <c r="AO137" s="38"/>
      <c r="AP137" s="38"/>
      <c r="AQ137" s="38"/>
      <c r="AR137" s="41"/>
      <c r="AS137" s="40"/>
      <c r="AT137" s="39"/>
      <c r="AU137" s="41"/>
      <c r="AV137" s="43" t="str">
        <f aca="false">IF(OR(A137="",NOT(ISNUMBER(AD137))),"",P_MinUrlaubWerktage/6*AD137)</f>
        <v/>
      </c>
      <c r="AW137" s="43" t="str">
        <f aca="false">IF(A137="","",IF(M137="Ja",P_ZusatzSB*IF(ISNUMBER(AD137),AD137,5)/5,0))</f>
        <v/>
      </c>
      <c r="AX137" s="41"/>
      <c r="AY137" s="39"/>
      <c r="AZ137" s="43" t="str">
        <f aca="false">IF(OR(A137="",NOT(ISNUMBER(AU137))),"",SUM(AU137,AW137,AX137))</f>
        <v/>
      </c>
      <c r="BA137" s="38"/>
      <c r="BB137" s="44"/>
      <c r="BC137" s="44"/>
      <c r="BD137" s="45" t="str">
        <f aca="false">IF(A137="","",IF(BA137="Stundenlohn",IF(ISNUMBER(BC137),BC137,""),IF(AND(ISNUMBER(BB137),ISNUMBER(AC137)),IF(AC137&gt;0,BB137*12/(AC137*52),""),"")))</f>
        <v/>
      </c>
      <c r="BE137" s="46" t="str">
        <f aca="false">IF(OR(A137="",NOT(ISNUMBER(F137))),"",IFERROR(DATEDIF(F137,P_Stichtag,"Y"),""))</f>
        <v/>
      </c>
      <c r="BF137" s="47" t="str">
        <f aca="false">IF(OR(A137="",NOT(ISNUMBER(BE137))),"",IF(BE137&lt;18,"Ja","Nein"))</f>
        <v/>
      </c>
      <c r="BG137" s="48" t="str">
        <f aca="false">IF(A137="","",IF((IF(OR(B137="",C137="",F137="",N137="",Q137="",AB137="",AC137="",AD137="",AU137=""),"Pflichtfelder fehlen; ","")&amp;IF(AND(ISNUMBER(AC137),AC137&gt;P_MaxWoche),"Wochenstunden &gt; Prüfgrenze; ","")&amp;IF(AND(BF137="Ja",ISNUMBER(AC137),AC137&gt;P_MaxWocheJugend),"Jugendlicher &gt; 40 h/Woche; ","")&amp;IF(AND(ISNUMBER(BD137),BD137&lt;P_Mindestlohn,Q137&lt;&gt;"Auszubildende/r",Q137&lt;&gt;"Praktikant/in"),"Mindestlohn unterschritten?; ","")&amp;IF(AND(Q137="Minijob (geringfügig)",ISNUMBER(BB137),BB137&gt;P_Minijob),"Minijob-Grenze überschritten; ","")&amp;IF(AND(R137="Ja",S137=""),"Befristung ohne Enddatum; ","")&amp;IF(AND(ISNUMBER(O137),ISNUMBER(N137),O137&lt;N137),"Austritt vor Eintritt; ","")&amp;IF(AND(ISNUMBER(AU137),ISNUMBER(AV137),AU137&lt;AV137),"Urlaub unter gesetzl. Minimum; ","")&amp;IF(AND(ISNUMBER(AC137),ISNUMBER(AF137),ABS(N(AC137)-N(AF137))&gt;0.01),"Wochenstd. weichen vom Modell ab; ","")&amp;IF(AND(AI137="Ja",OR(AJ137="",AK137="")),"Kontogrenzen fehlen; ","")&amp;IF(AND(AL137="Mit Gehalt abgegolten (Pauschale)",AM137=""),"Überstunden-Pauschale fehlt; ",""))="","OK",IF(OR(B137="",C137="",F137="",N137="",Q137="",AB137="",AC137="",AD137="",AU137=""),"Pflichtfelder fehlen; ","")&amp;IF(AND(ISNUMBER(AC137),AC137&gt;P_MaxWoche),"Wochenstunden &gt; Prüfgrenze; ","")&amp;IF(AND(BF137="Ja",ISNUMBER(AC137),AC137&gt;P_MaxWocheJugend),"Jugendlicher &gt; 40 h/Woche; ","")&amp;IF(AND(ISNUMBER(BD137),BD137&lt;P_Mindestlohn,Q137&lt;&gt;"Auszubildende/r",Q137&lt;&gt;"Praktikant/in"),"Mindestlohn unterschritten?; ","")&amp;IF(AND(Q137="Minijob (geringfügig)",ISNUMBER(BB137),BB137&gt;P_Minijob),"Minijob-Grenze überschritten; ","")&amp;IF(AND(R137="Ja",S137=""),"Befristung ohne Enddatum; ","")&amp;IF(AND(ISNUMBER(O137),ISNUMBER(N137),O137&lt;N137),"Austritt vor Eintritt; ","")&amp;IF(AND(ISNUMBER(AU137),ISNUMBER(AV137),AU137&lt;AV137),"Urlaub unter gesetzl. Minimum; ","")&amp;IF(AND(ISNUMBER(AC137),ISNUMBER(AF137),ABS(N(AC137)-N(AF137))&gt;0.01),"Wochenstd. weichen vom Modell ab; ","")&amp;IF(AND(AI137="Ja",OR(AJ137="",AK137="")),"Kontogrenzen fehlen; ","")&amp;IF(AND(AL137="Mit Gehalt abgegolten (Pauschale)",AM137=""),"Überstunden-Pauschale fehlt; ","")))</f>
        <v/>
      </c>
      <c r="BH137" s="38"/>
    </row>
    <row r="138" customFormat="false" ht="15" hidden="false" customHeight="false" outlineLevel="0" collapsed="false">
      <c r="A138" s="37"/>
      <c r="B138" s="38"/>
      <c r="C138" s="38"/>
      <c r="D138" s="38"/>
      <c r="E138" s="38"/>
      <c r="F138" s="39"/>
      <c r="G138" s="38"/>
      <c r="H138" s="38"/>
      <c r="I138" s="37"/>
      <c r="J138" s="38"/>
      <c r="K138" s="38"/>
      <c r="L138" s="38"/>
      <c r="M138" s="38"/>
      <c r="N138" s="39"/>
      <c r="O138" s="39"/>
      <c r="P138" s="38"/>
      <c r="Q138" s="38"/>
      <c r="R138" s="38"/>
      <c r="S138" s="39"/>
      <c r="T138" s="39"/>
      <c r="U138" s="38"/>
      <c r="V138" s="38"/>
      <c r="W138" s="37"/>
      <c r="X138" s="38"/>
      <c r="Y138" s="38"/>
      <c r="Z138" s="37"/>
      <c r="AA138" s="38"/>
      <c r="AB138" s="38"/>
      <c r="AC138" s="40"/>
      <c r="AD138" s="41"/>
      <c r="AE138" s="42" t="str">
        <f aca="false">IF(OR(A138="",NOT(ISNUMBER(AC138)),NOT(ISNUMBER(AD138))),"",IF(AD138&gt;0,AC138/AD138,""))</f>
        <v/>
      </c>
      <c r="AF138" s="42" t="str">
        <f aca="false">IF(OR(A138="",AB138=""),"",IFERROR(INDEX(Arbeitszeitmodelle!$C$5:$C$34,MATCH(AB138,Arbeitszeitmodelle!$A$5:$A$34,0)),""))</f>
        <v/>
      </c>
      <c r="AG138" s="38"/>
      <c r="AH138" s="38"/>
      <c r="AI138" s="38"/>
      <c r="AJ138" s="41"/>
      <c r="AK138" s="41"/>
      <c r="AL138" s="38"/>
      <c r="AM138" s="41"/>
      <c r="AN138" s="38"/>
      <c r="AO138" s="38"/>
      <c r="AP138" s="38"/>
      <c r="AQ138" s="38"/>
      <c r="AR138" s="41"/>
      <c r="AS138" s="40"/>
      <c r="AT138" s="39"/>
      <c r="AU138" s="41"/>
      <c r="AV138" s="43" t="str">
        <f aca="false">IF(OR(A138="",NOT(ISNUMBER(AD138))),"",P_MinUrlaubWerktage/6*AD138)</f>
        <v/>
      </c>
      <c r="AW138" s="43" t="str">
        <f aca="false">IF(A138="","",IF(M138="Ja",P_ZusatzSB*IF(ISNUMBER(AD138),AD138,5)/5,0))</f>
        <v/>
      </c>
      <c r="AX138" s="41"/>
      <c r="AY138" s="39"/>
      <c r="AZ138" s="43" t="str">
        <f aca="false">IF(OR(A138="",NOT(ISNUMBER(AU138))),"",SUM(AU138,AW138,AX138))</f>
        <v/>
      </c>
      <c r="BA138" s="38"/>
      <c r="BB138" s="44"/>
      <c r="BC138" s="44"/>
      <c r="BD138" s="45" t="str">
        <f aca="false">IF(A138="","",IF(BA138="Stundenlohn",IF(ISNUMBER(BC138),BC138,""),IF(AND(ISNUMBER(BB138),ISNUMBER(AC138)),IF(AC138&gt;0,BB138*12/(AC138*52),""),"")))</f>
        <v/>
      </c>
      <c r="BE138" s="46" t="str">
        <f aca="false">IF(OR(A138="",NOT(ISNUMBER(F138))),"",IFERROR(DATEDIF(F138,P_Stichtag,"Y"),""))</f>
        <v/>
      </c>
      <c r="BF138" s="47" t="str">
        <f aca="false">IF(OR(A138="",NOT(ISNUMBER(BE138))),"",IF(BE138&lt;18,"Ja","Nein"))</f>
        <v/>
      </c>
      <c r="BG138" s="48" t="str">
        <f aca="false">IF(A138="","",IF((IF(OR(B138="",C138="",F138="",N138="",Q138="",AB138="",AC138="",AD138="",AU138=""),"Pflichtfelder fehlen; ","")&amp;IF(AND(ISNUMBER(AC138),AC138&gt;P_MaxWoche),"Wochenstunden &gt; Prüfgrenze; ","")&amp;IF(AND(BF138="Ja",ISNUMBER(AC138),AC138&gt;P_MaxWocheJugend),"Jugendlicher &gt; 40 h/Woche; ","")&amp;IF(AND(ISNUMBER(BD138),BD138&lt;P_Mindestlohn,Q138&lt;&gt;"Auszubildende/r",Q138&lt;&gt;"Praktikant/in"),"Mindestlohn unterschritten?; ","")&amp;IF(AND(Q138="Minijob (geringfügig)",ISNUMBER(BB138),BB138&gt;P_Minijob),"Minijob-Grenze überschritten; ","")&amp;IF(AND(R138="Ja",S138=""),"Befristung ohne Enddatum; ","")&amp;IF(AND(ISNUMBER(O138),ISNUMBER(N138),O138&lt;N138),"Austritt vor Eintritt; ","")&amp;IF(AND(ISNUMBER(AU138),ISNUMBER(AV138),AU138&lt;AV138),"Urlaub unter gesetzl. Minimum; ","")&amp;IF(AND(ISNUMBER(AC138),ISNUMBER(AF138),ABS(N(AC138)-N(AF138))&gt;0.01),"Wochenstd. weichen vom Modell ab; ","")&amp;IF(AND(AI138="Ja",OR(AJ138="",AK138="")),"Kontogrenzen fehlen; ","")&amp;IF(AND(AL138="Mit Gehalt abgegolten (Pauschale)",AM138=""),"Überstunden-Pauschale fehlt; ",""))="","OK",IF(OR(B138="",C138="",F138="",N138="",Q138="",AB138="",AC138="",AD138="",AU138=""),"Pflichtfelder fehlen; ","")&amp;IF(AND(ISNUMBER(AC138),AC138&gt;P_MaxWoche),"Wochenstunden &gt; Prüfgrenze; ","")&amp;IF(AND(BF138="Ja",ISNUMBER(AC138),AC138&gt;P_MaxWocheJugend),"Jugendlicher &gt; 40 h/Woche; ","")&amp;IF(AND(ISNUMBER(BD138),BD138&lt;P_Mindestlohn,Q138&lt;&gt;"Auszubildende/r",Q138&lt;&gt;"Praktikant/in"),"Mindestlohn unterschritten?; ","")&amp;IF(AND(Q138="Minijob (geringfügig)",ISNUMBER(BB138),BB138&gt;P_Minijob),"Minijob-Grenze überschritten; ","")&amp;IF(AND(R138="Ja",S138=""),"Befristung ohne Enddatum; ","")&amp;IF(AND(ISNUMBER(O138),ISNUMBER(N138),O138&lt;N138),"Austritt vor Eintritt; ","")&amp;IF(AND(ISNUMBER(AU138),ISNUMBER(AV138),AU138&lt;AV138),"Urlaub unter gesetzl. Minimum; ","")&amp;IF(AND(ISNUMBER(AC138),ISNUMBER(AF138),ABS(N(AC138)-N(AF138))&gt;0.01),"Wochenstd. weichen vom Modell ab; ","")&amp;IF(AND(AI138="Ja",OR(AJ138="",AK138="")),"Kontogrenzen fehlen; ","")&amp;IF(AND(AL138="Mit Gehalt abgegolten (Pauschale)",AM138=""),"Überstunden-Pauschale fehlt; ","")))</f>
        <v/>
      </c>
      <c r="BH138" s="38"/>
    </row>
    <row r="139" customFormat="false" ht="15" hidden="false" customHeight="false" outlineLevel="0" collapsed="false">
      <c r="A139" s="37"/>
      <c r="B139" s="38"/>
      <c r="C139" s="38"/>
      <c r="D139" s="38"/>
      <c r="E139" s="38"/>
      <c r="F139" s="39"/>
      <c r="G139" s="38"/>
      <c r="H139" s="38"/>
      <c r="I139" s="37"/>
      <c r="J139" s="38"/>
      <c r="K139" s="38"/>
      <c r="L139" s="38"/>
      <c r="M139" s="38"/>
      <c r="N139" s="39"/>
      <c r="O139" s="39"/>
      <c r="P139" s="38"/>
      <c r="Q139" s="38"/>
      <c r="R139" s="38"/>
      <c r="S139" s="39"/>
      <c r="T139" s="39"/>
      <c r="U139" s="38"/>
      <c r="V139" s="38"/>
      <c r="W139" s="37"/>
      <c r="X139" s="38"/>
      <c r="Y139" s="38"/>
      <c r="Z139" s="37"/>
      <c r="AA139" s="38"/>
      <c r="AB139" s="38"/>
      <c r="AC139" s="40"/>
      <c r="AD139" s="41"/>
      <c r="AE139" s="42" t="str">
        <f aca="false">IF(OR(A139="",NOT(ISNUMBER(AC139)),NOT(ISNUMBER(AD139))),"",IF(AD139&gt;0,AC139/AD139,""))</f>
        <v/>
      </c>
      <c r="AF139" s="42" t="str">
        <f aca="false">IF(OR(A139="",AB139=""),"",IFERROR(INDEX(Arbeitszeitmodelle!$C$5:$C$34,MATCH(AB139,Arbeitszeitmodelle!$A$5:$A$34,0)),""))</f>
        <v/>
      </c>
      <c r="AG139" s="38"/>
      <c r="AH139" s="38"/>
      <c r="AI139" s="38"/>
      <c r="AJ139" s="41"/>
      <c r="AK139" s="41"/>
      <c r="AL139" s="38"/>
      <c r="AM139" s="41"/>
      <c r="AN139" s="38"/>
      <c r="AO139" s="38"/>
      <c r="AP139" s="38"/>
      <c r="AQ139" s="38"/>
      <c r="AR139" s="41"/>
      <c r="AS139" s="40"/>
      <c r="AT139" s="39"/>
      <c r="AU139" s="41"/>
      <c r="AV139" s="43" t="str">
        <f aca="false">IF(OR(A139="",NOT(ISNUMBER(AD139))),"",P_MinUrlaubWerktage/6*AD139)</f>
        <v/>
      </c>
      <c r="AW139" s="43" t="str">
        <f aca="false">IF(A139="","",IF(M139="Ja",P_ZusatzSB*IF(ISNUMBER(AD139),AD139,5)/5,0))</f>
        <v/>
      </c>
      <c r="AX139" s="41"/>
      <c r="AY139" s="39"/>
      <c r="AZ139" s="43" t="str">
        <f aca="false">IF(OR(A139="",NOT(ISNUMBER(AU139))),"",SUM(AU139,AW139,AX139))</f>
        <v/>
      </c>
      <c r="BA139" s="38"/>
      <c r="BB139" s="44"/>
      <c r="BC139" s="44"/>
      <c r="BD139" s="45" t="str">
        <f aca="false">IF(A139="","",IF(BA139="Stundenlohn",IF(ISNUMBER(BC139),BC139,""),IF(AND(ISNUMBER(BB139),ISNUMBER(AC139)),IF(AC139&gt;0,BB139*12/(AC139*52),""),"")))</f>
        <v/>
      </c>
      <c r="BE139" s="46" t="str">
        <f aca="false">IF(OR(A139="",NOT(ISNUMBER(F139))),"",IFERROR(DATEDIF(F139,P_Stichtag,"Y"),""))</f>
        <v/>
      </c>
      <c r="BF139" s="47" t="str">
        <f aca="false">IF(OR(A139="",NOT(ISNUMBER(BE139))),"",IF(BE139&lt;18,"Ja","Nein"))</f>
        <v/>
      </c>
      <c r="BG139" s="48" t="str">
        <f aca="false">IF(A139="","",IF((IF(OR(B139="",C139="",F139="",N139="",Q139="",AB139="",AC139="",AD139="",AU139=""),"Pflichtfelder fehlen; ","")&amp;IF(AND(ISNUMBER(AC139),AC139&gt;P_MaxWoche),"Wochenstunden &gt; Prüfgrenze; ","")&amp;IF(AND(BF139="Ja",ISNUMBER(AC139),AC139&gt;P_MaxWocheJugend),"Jugendlicher &gt; 40 h/Woche; ","")&amp;IF(AND(ISNUMBER(BD139),BD139&lt;P_Mindestlohn,Q139&lt;&gt;"Auszubildende/r",Q139&lt;&gt;"Praktikant/in"),"Mindestlohn unterschritten?; ","")&amp;IF(AND(Q139="Minijob (geringfügig)",ISNUMBER(BB139),BB139&gt;P_Minijob),"Minijob-Grenze überschritten; ","")&amp;IF(AND(R139="Ja",S139=""),"Befristung ohne Enddatum; ","")&amp;IF(AND(ISNUMBER(O139),ISNUMBER(N139),O139&lt;N139),"Austritt vor Eintritt; ","")&amp;IF(AND(ISNUMBER(AU139),ISNUMBER(AV139),AU139&lt;AV139),"Urlaub unter gesetzl. Minimum; ","")&amp;IF(AND(ISNUMBER(AC139),ISNUMBER(AF139),ABS(N(AC139)-N(AF139))&gt;0.01),"Wochenstd. weichen vom Modell ab; ","")&amp;IF(AND(AI139="Ja",OR(AJ139="",AK139="")),"Kontogrenzen fehlen; ","")&amp;IF(AND(AL139="Mit Gehalt abgegolten (Pauschale)",AM139=""),"Überstunden-Pauschale fehlt; ",""))="","OK",IF(OR(B139="",C139="",F139="",N139="",Q139="",AB139="",AC139="",AD139="",AU139=""),"Pflichtfelder fehlen; ","")&amp;IF(AND(ISNUMBER(AC139),AC139&gt;P_MaxWoche),"Wochenstunden &gt; Prüfgrenze; ","")&amp;IF(AND(BF139="Ja",ISNUMBER(AC139),AC139&gt;P_MaxWocheJugend),"Jugendlicher &gt; 40 h/Woche; ","")&amp;IF(AND(ISNUMBER(BD139),BD139&lt;P_Mindestlohn,Q139&lt;&gt;"Auszubildende/r",Q139&lt;&gt;"Praktikant/in"),"Mindestlohn unterschritten?; ","")&amp;IF(AND(Q139="Minijob (geringfügig)",ISNUMBER(BB139),BB139&gt;P_Minijob),"Minijob-Grenze überschritten; ","")&amp;IF(AND(R139="Ja",S139=""),"Befristung ohne Enddatum; ","")&amp;IF(AND(ISNUMBER(O139),ISNUMBER(N139),O139&lt;N139),"Austritt vor Eintritt; ","")&amp;IF(AND(ISNUMBER(AU139),ISNUMBER(AV139),AU139&lt;AV139),"Urlaub unter gesetzl. Minimum; ","")&amp;IF(AND(ISNUMBER(AC139),ISNUMBER(AF139),ABS(N(AC139)-N(AF139))&gt;0.01),"Wochenstd. weichen vom Modell ab; ","")&amp;IF(AND(AI139="Ja",OR(AJ139="",AK139="")),"Kontogrenzen fehlen; ","")&amp;IF(AND(AL139="Mit Gehalt abgegolten (Pauschale)",AM139=""),"Überstunden-Pauschale fehlt; ","")))</f>
        <v/>
      </c>
      <c r="BH139" s="38"/>
    </row>
    <row r="140" customFormat="false" ht="15" hidden="false" customHeight="false" outlineLevel="0" collapsed="false">
      <c r="A140" s="37"/>
      <c r="B140" s="38"/>
      <c r="C140" s="38"/>
      <c r="D140" s="38"/>
      <c r="E140" s="38"/>
      <c r="F140" s="39"/>
      <c r="G140" s="38"/>
      <c r="H140" s="38"/>
      <c r="I140" s="37"/>
      <c r="J140" s="38"/>
      <c r="K140" s="38"/>
      <c r="L140" s="38"/>
      <c r="M140" s="38"/>
      <c r="N140" s="39"/>
      <c r="O140" s="39"/>
      <c r="P140" s="38"/>
      <c r="Q140" s="38"/>
      <c r="R140" s="38"/>
      <c r="S140" s="39"/>
      <c r="T140" s="39"/>
      <c r="U140" s="38"/>
      <c r="V140" s="38"/>
      <c r="W140" s="37"/>
      <c r="X140" s="38"/>
      <c r="Y140" s="38"/>
      <c r="Z140" s="37"/>
      <c r="AA140" s="38"/>
      <c r="AB140" s="38"/>
      <c r="AC140" s="40"/>
      <c r="AD140" s="41"/>
      <c r="AE140" s="42" t="str">
        <f aca="false">IF(OR(A140="",NOT(ISNUMBER(AC140)),NOT(ISNUMBER(AD140))),"",IF(AD140&gt;0,AC140/AD140,""))</f>
        <v/>
      </c>
      <c r="AF140" s="42" t="str">
        <f aca="false">IF(OR(A140="",AB140=""),"",IFERROR(INDEX(Arbeitszeitmodelle!$C$5:$C$34,MATCH(AB140,Arbeitszeitmodelle!$A$5:$A$34,0)),""))</f>
        <v/>
      </c>
      <c r="AG140" s="38"/>
      <c r="AH140" s="38"/>
      <c r="AI140" s="38"/>
      <c r="AJ140" s="41"/>
      <c r="AK140" s="41"/>
      <c r="AL140" s="38"/>
      <c r="AM140" s="41"/>
      <c r="AN140" s="38"/>
      <c r="AO140" s="38"/>
      <c r="AP140" s="38"/>
      <c r="AQ140" s="38"/>
      <c r="AR140" s="41"/>
      <c r="AS140" s="40"/>
      <c r="AT140" s="39"/>
      <c r="AU140" s="41"/>
      <c r="AV140" s="43" t="str">
        <f aca="false">IF(OR(A140="",NOT(ISNUMBER(AD140))),"",P_MinUrlaubWerktage/6*AD140)</f>
        <v/>
      </c>
      <c r="AW140" s="43" t="str">
        <f aca="false">IF(A140="","",IF(M140="Ja",P_ZusatzSB*IF(ISNUMBER(AD140),AD140,5)/5,0))</f>
        <v/>
      </c>
      <c r="AX140" s="41"/>
      <c r="AY140" s="39"/>
      <c r="AZ140" s="43" t="str">
        <f aca="false">IF(OR(A140="",NOT(ISNUMBER(AU140))),"",SUM(AU140,AW140,AX140))</f>
        <v/>
      </c>
      <c r="BA140" s="38"/>
      <c r="BB140" s="44"/>
      <c r="BC140" s="44"/>
      <c r="BD140" s="45" t="str">
        <f aca="false">IF(A140="","",IF(BA140="Stundenlohn",IF(ISNUMBER(BC140),BC140,""),IF(AND(ISNUMBER(BB140),ISNUMBER(AC140)),IF(AC140&gt;0,BB140*12/(AC140*52),""),"")))</f>
        <v/>
      </c>
      <c r="BE140" s="46" t="str">
        <f aca="false">IF(OR(A140="",NOT(ISNUMBER(F140))),"",IFERROR(DATEDIF(F140,P_Stichtag,"Y"),""))</f>
        <v/>
      </c>
      <c r="BF140" s="47" t="str">
        <f aca="false">IF(OR(A140="",NOT(ISNUMBER(BE140))),"",IF(BE140&lt;18,"Ja","Nein"))</f>
        <v/>
      </c>
      <c r="BG140" s="48" t="str">
        <f aca="false">IF(A140="","",IF((IF(OR(B140="",C140="",F140="",N140="",Q140="",AB140="",AC140="",AD140="",AU140=""),"Pflichtfelder fehlen; ","")&amp;IF(AND(ISNUMBER(AC140),AC140&gt;P_MaxWoche),"Wochenstunden &gt; Prüfgrenze; ","")&amp;IF(AND(BF140="Ja",ISNUMBER(AC140),AC140&gt;P_MaxWocheJugend),"Jugendlicher &gt; 40 h/Woche; ","")&amp;IF(AND(ISNUMBER(BD140),BD140&lt;P_Mindestlohn,Q140&lt;&gt;"Auszubildende/r",Q140&lt;&gt;"Praktikant/in"),"Mindestlohn unterschritten?; ","")&amp;IF(AND(Q140="Minijob (geringfügig)",ISNUMBER(BB140),BB140&gt;P_Minijob),"Minijob-Grenze überschritten; ","")&amp;IF(AND(R140="Ja",S140=""),"Befristung ohne Enddatum; ","")&amp;IF(AND(ISNUMBER(O140),ISNUMBER(N140),O140&lt;N140),"Austritt vor Eintritt; ","")&amp;IF(AND(ISNUMBER(AU140),ISNUMBER(AV140),AU140&lt;AV140),"Urlaub unter gesetzl. Minimum; ","")&amp;IF(AND(ISNUMBER(AC140),ISNUMBER(AF140),ABS(N(AC140)-N(AF140))&gt;0.01),"Wochenstd. weichen vom Modell ab; ","")&amp;IF(AND(AI140="Ja",OR(AJ140="",AK140="")),"Kontogrenzen fehlen; ","")&amp;IF(AND(AL140="Mit Gehalt abgegolten (Pauschale)",AM140=""),"Überstunden-Pauschale fehlt; ",""))="","OK",IF(OR(B140="",C140="",F140="",N140="",Q140="",AB140="",AC140="",AD140="",AU140=""),"Pflichtfelder fehlen; ","")&amp;IF(AND(ISNUMBER(AC140),AC140&gt;P_MaxWoche),"Wochenstunden &gt; Prüfgrenze; ","")&amp;IF(AND(BF140="Ja",ISNUMBER(AC140),AC140&gt;P_MaxWocheJugend),"Jugendlicher &gt; 40 h/Woche; ","")&amp;IF(AND(ISNUMBER(BD140),BD140&lt;P_Mindestlohn,Q140&lt;&gt;"Auszubildende/r",Q140&lt;&gt;"Praktikant/in"),"Mindestlohn unterschritten?; ","")&amp;IF(AND(Q140="Minijob (geringfügig)",ISNUMBER(BB140),BB140&gt;P_Minijob),"Minijob-Grenze überschritten; ","")&amp;IF(AND(R140="Ja",S140=""),"Befristung ohne Enddatum; ","")&amp;IF(AND(ISNUMBER(O140),ISNUMBER(N140),O140&lt;N140),"Austritt vor Eintritt; ","")&amp;IF(AND(ISNUMBER(AU140),ISNUMBER(AV140),AU140&lt;AV140),"Urlaub unter gesetzl. Minimum; ","")&amp;IF(AND(ISNUMBER(AC140),ISNUMBER(AF140),ABS(N(AC140)-N(AF140))&gt;0.01),"Wochenstd. weichen vom Modell ab; ","")&amp;IF(AND(AI140="Ja",OR(AJ140="",AK140="")),"Kontogrenzen fehlen; ","")&amp;IF(AND(AL140="Mit Gehalt abgegolten (Pauschale)",AM140=""),"Überstunden-Pauschale fehlt; ","")))</f>
        <v/>
      </c>
      <c r="BH140" s="38"/>
    </row>
    <row r="141" customFormat="false" ht="15" hidden="false" customHeight="false" outlineLevel="0" collapsed="false">
      <c r="A141" s="37"/>
      <c r="B141" s="38"/>
      <c r="C141" s="38"/>
      <c r="D141" s="38"/>
      <c r="E141" s="38"/>
      <c r="F141" s="39"/>
      <c r="G141" s="38"/>
      <c r="H141" s="38"/>
      <c r="I141" s="37"/>
      <c r="J141" s="38"/>
      <c r="K141" s="38"/>
      <c r="L141" s="38"/>
      <c r="M141" s="38"/>
      <c r="N141" s="39"/>
      <c r="O141" s="39"/>
      <c r="P141" s="38"/>
      <c r="Q141" s="38"/>
      <c r="R141" s="38"/>
      <c r="S141" s="39"/>
      <c r="T141" s="39"/>
      <c r="U141" s="38"/>
      <c r="V141" s="38"/>
      <c r="W141" s="37"/>
      <c r="X141" s="38"/>
      <c r="Y141" s="38"/>
      <c r="Z141" s="37"/>
      <c r="AA141" s="38"/>
      <c r="AB141" s="38"/>
      <c r="AC141" s="40"/>
      <c r="AD141" s="41"/>
      <c r="AE141" s="42" t="str">
        <f aca="false">IF(OR(A141="",NOT(ISNUMBER(AC141)),NOT(ISNUMBER(AD141))),"",IF(AD141&gt;0,AC141/AD141,""))</f>
        <v/>
      </c>
      <c r="AF141" s="42" t="str">
        <f aca="false">IF(OR(A141="",AB141=""),"",IFERROR(INDEX(Arbeitszeitmodelle!$C$5:$C$34,MATCH(AB141,Arbeitszeitmodelle!$A$5:$A$34,0)),""))</f>
        <v/>
      </c>
      <c r="AG141" s="38"/>
      <c r="AH141" s="38"/>
      <c r="AI141" s="38"/>
      <c r="AJ141" s="41"/>
      <c r="AK141" s="41"/>
      <c r="AL141" s="38"/>
      <c r="AM141" s="41"/>
      <c r="AN141" s="38"/>
      <c r="AO141" s="38"/>
      <c r="AP141" s="38"/>
      <c r="AQ141" s="38"/>
      <c r="AR141" s="41"/>
      <c r="AS141" s="40"/>
      <c r="AT141" s="39"/>
      <c r="AU141" s="41"/>
      <c r="AV141" s="43" t="str">
        <f aca="false">IF(OR(A141="",NOT(ISNUMBER(AD141))),"",P_MinUrlaubWerktage/6*AD141)</f>
        <v/>
      </c>
      <c r="AW141" s="43" t="str">
        <f aca="false">IF(A141="","",IF(M141="Ja",P_ZusatzSB*IF(ISNUMBER(AD141),AD141,5)/5,0))</f>
        <v/>
      </c>
      <c r="AX141" s="41"/>
      <c r="AY141" s="39"/>
      <c r="AZ141" s="43" t="str">
        <f aca="false">IF(OR(A141="",NOT(ISNUMBER(AU141))),"",SUM(AU141,AW141,AX141))</f>
        <v/>
      </c>
      <c r="BA141" s="38"/>
      <c r="BB141" s="44"/>
      <c r="BC141" s="44"/>
      <c r="BD141" s="45" t="str">
        <f aca="false">IF(A141="","",IF(BA141="Stundenlohn",IF(ISNUMBER(BC141),BC141,""),IF(AND(ISNUMBER(BB141),ISNUMBER(AC141)),IF(AC141&gt;0,BB141*12/(AC141*52),""),"")))</f>
        <v/>
      </c>
      <c r="BE141" s="46" t="str">
        <f aca="false">IF(OR(A141="",NOT(ISNUMBER(F141))),"",IFERROR(DATEDIF(F141,P_Stichtag,"Y"),""))</f>
        <v/>
      </c>
      <c r="BF141" s="47" t="str">
        <f aca="false">IF(OR(A141="",NOT(ISNUMBER(BE141))),"",IF(BE141&lt;18,"Ja","Nein"))</f>
        <v/>
      </c>
      <c r="BG141" s="48" t="str">
        <f aca="false">IF(A141="","",IF((IF(OR(B141="",C141="",F141="",N141="",Q141="",AB141="",AC141="",AD141="",AU141=""),"Pflichtfelder fehlen; ","")&amp;IF(AND(ISNUMBER(AC141),AC141&gt;P_MaxWoche),"Wochenstunden &gt; Prüfgrenze; ","")&amp;IF(AND(BF141="Ja",ISNUMBER(AC141),AC141&gt;P_MaxWocheJugend),"Jugendlicher &gt; 40 h/Woche; ","")&amp;IF(AND(ISNUMBER(BD141),BD141&lt;P_Mindestlohn,Q141&lt;&gt;"Auszubildende/r",Q141&lt;&gt;"Praktikant/in"),"Mindestlohn unterschritten?; ","")&amp;IF(AND(Q141="Minijob (geringfügig)",ISNUMBER(BB141),BB141&gt;P_Minijob),"Minijob-Grenze überschritten; ","")&amp;IF(AND(R141="Ja",S141=""),"Befristung ohne Enddatum; ","")&amp;IF(AND(ISNUMBER(O141),ISNUMBER(N141),O141&lt;N141),"Austritt vor Eintritt; ","")&amp;IF(AND(ISNUMBER(AU141),ISNUMBER(AV141),AU141&lt;AV141),"Urlaub unter gesetzl. Minimum; ","")&amp;IF(AND(ISNUMBER(AC141),ISNUMBER(AF141),ABS(N(AC141)-N(AF141))&gt;0.01),"Wochenstd. weichen vom Modell ab; ","")&amp;IF(AND(AI141="Ja",OR(AJ141="",AK141="")),"Kontogrenzen fehlen; ","")&amp;IF(AND(AL141="Mit Gehalt abgegolten (Pauschale)",AM141=""),"Überstunden-Pauschale fehlt; ",""))="","OK",IF(OR(B141="",C141="",F141="",N141="",Q141="",AB141="",AC141="",AD141="",AU141=""),"Pflichtfelder fehlen; ","")&amp;IF(AND(ISNUMBER(AC141),AC141&gt;P_MaxWoche),"Wochenstunden &gt; Prüfgrenze; ","")&amp;IF(AND(BF141="Ja",ISNUMBER(AC141),AC141&gt;P_MaxWocheJugend),"Jugendlicher &gt; 40 h/Woche; ","")&amp;IF(AND(ISNUMBER(BD141),BD141&lt;P_Mindestlohn,Q141&lt;&gt;"Auszubildende/r",Q141&lt;&gt;"Praktikant/in"),"Mindestlohn unterschritten?; ","")&amp;IF(AND(Q141="Minijob (geringfügig)",ISNUMBER(BB141),BB141&gt;P_Minijob),"Minijob-Grenze überschritten; ","")&amp;IF(AND(R141="Ja",S141=""),"Befristung ohne Enddatum; ","")&amp;IF(AND(ISNUMBER(O141),ISNUMBER(N141),O141&lt;N141),"Austritt vor Eintritt; ","")&amp;IF(AND(ISNUMBER(AU141),ISNUMBER(AV141),AU141&lt;AV141),"Urlaub unter gesetzl. Minimum; ","")&amp;IF(AND(ISNUMBER(AC141),ISNUMBER(AF141),ABS(N(AC141)-N(AF141))&gt;0.01),"Wochenstd. weichen vom Modell ab; ","")&amp;IF(AND(AI141="Ja",OR(AJ141="",AK141="")),"Kontogrenzen fehlen; ","")&amp;IF(AND(AL141="Mit Gehalt abgegolten (Pauschale)",AM141=""),"Überstunden-Pauschale fehlt; ","")))</f>
        <v/>
      </c>
      <c r="BH141" s="38"/>
    </row>
    <row r="142" customFormat="false" ht="15" hidden="false" customHeight="false" outlineLevel="0" collapsed="false">
      <c r="A142" s="37"/>
      <c r="B142" s="38"/>
      <c r="C142" s="38"/>
      <c r="D142" s="38"/>
      <c r="E142" s="38"/>
      <c r="F142" s="39"/>
      <c r="G142" s="38"/>
      <c r="H142" s="38"/>
      <c r="I142" s="37"/>
      <c r="J142" s="38"/>
      <c r="K142" s="38"/>
      <c r="L142" s="38"/>
      <c r="M142" s="38"/>
      <c r="N142" s="39"/>
      <c r="O142" s="39"/>
      <c r="P142" s="38"/>
      <c r="Q142" s="38"/>
      <c r="R142" s="38"/>
      <c r="S142" s="39"/>
      <c r="T142" s="39"/>
      <c r="U142" s="38"/>
      <c r="V142" s="38"/>
      <c r="W142" s="37"/>
      <c r="X142" s="38"/>
      <c r="Y142" s="38"/>
      <c r="Z142" s="37"/>
      <c r="AA142" s="38"/>
      <c r="AB142" s="38"/>
      <c r="AC142" s="40"/>
      <c r="AD142" s="41"/>
      <c r="AE142" s="42" t="str">
        <f aca="false">IF(OR(A142="",NOT(ISNUMBER(AC142)),NOT(ISNUMBER(AD142))),"",IF(AD142&gt;0,AC142/AD142,""))</f>
        <v/>
      </c>
      <c r="AF142" s="42" t="str">
        <f aca="false">IF(OR(A142="",AB142=""),"",IFERROR(INDEX(Arbeitszeitmodelle!$C$5:$C$34,MATCH(AB142,Arbeitszeitmodelle!$A$5:$A$34,0)),""))</f>
        <v/>
      </c>
      <c r="AG142" s="38"/>
      <c r="AH142" s="38"/>
      <c r="AI142" s="38"/>
      <c r="AJ142" s="41"/>
      <c r="AK142" s="41"/>
      <c r="AL142" s="38"/>
      <c r="AM142" s="41"/>
      <c r="AN142" s="38"/>
      <c r="AO142" s="38"/>
      <c r="AP142" s="38"/>
      <c r="AQ142" s="38"/>
      <c r="AR142" s="41"/>
      <c r="AS142" s="40"/>
      <c r="AT142" s="39"/>
      <c r="AU142" s="41"/>
      <c r="AV142" s="43" t="str">
        <f aca="false">IF(OR(A142="",NOT(ISNUMBER(AD142))),"",P_MinUrlaubWerktage/6*AD142)</f>
        <v/>
      </c>
      <c r="AW142" s="43" t="str">
        <f aca="false">IF(A142="","",IF(M142="Ja",P_ZusatzSB*IF(ISNUMBER(AD142),AD142,5)/5,0))</f>
        <v/>
      </c>
      <c r="AX142" s="41"/>
      <c r="AY142" s="39"/>
      <c r="AZ142" s="43" t="str">
        <f aca="false">IF(OR(A142="",NOT(ISNUMBER(AU142))),"",SUM(AU142,AW142,AX142))</f>
        <v/>
      </c>
      <c r="BA142" s="38"/>
      <c r="BB142" s="44"/>
      <c r="BC142" s="44"/>
      <c r="BD142" s="45" t="str">
        <f aca="false">IF(A142="","",IF(BA142="Stundenlohn",IF(ISNUMBER(BC142),BC142,""),IF(AND(ISNUMBER(BB142),ISNUMBER(AC142)),IF(AC142&gt;0,BB142*12/(AC142*52),""),"")))</f>
        <v/>
      </c>
      <c r="BE142" s="46" t="str">
        <f aca="false">IF(OR(A142="",NOT(ISNUMBER(F142))),"",IFERROR(DATEDIF(F142,P_Stichtag,"Y"),""))</f>
        <v/>
      </c>
      <c r="BF142" s="47" t="str">
        <f aca="false">IF(OR(A142="",NOT(ISNUMBER(BE142))),"",IF(BE142&lt;18,"Ja","Nein"))</f>
        <v/>
      </c>
      <c r="BG142" s="48" t="str">
        <f aca="false">IF(A142="","",IF((IF(OR(B142="",C142="",F142="",N142="",Q142="",AB142="",AC142="",AD142="",AU142=""),"Pflichtfelder fehlen; ","")&amp;IF(AND(ISNUMBER(AC142),AC142&gt;P_MaxWoche),"Wochenstunden &gt; Prüfgrenze; ","")&amp;IF(AND(BF142="Ja",ISNUMBER(AC142),AC142&gt;P_MaxWocheJugend),"Jugendlicher &gt; 40 h/Woche; ","")&amp;IF(AND(ISNUMBER(BD142),BD142&lt;P_Mindestlohn,Q142&lt;&gt;"Auszubildende/r",Q142&lt;&gt;"Praktikant/in"),"Mindestlohn unterschritten?; ","")&amp;IF(AND(Q142="Minijob (geringfügig)",ISNUMBER(BB142),BB142&gt;P_Minijob),"Minijob-Grenze überschritten; ","")&amp;IF(AND(R142="Ja",S142=""),"Befristung ohne Enddatum; ","")&amp;IF(AND(ISNUMBER(O142),ISNUMBER(N142),O142&lt;N142),"Austritt vor Eintritt; ","")&amp;IF(AND(ISNUMBER(AU142),ISNUMBER(AV142),AU142&lt;AV142),"Urlaub unter gesetzl. Minimum; ","")&amp;IF(AND(ISNUMBER(AC142),ISNUMBER(AF142),ABS(N(AC142)-N(AF142))&gt;0.01),"Wochenstd. weichen vom Modell ab; ","")&amp;IF(AND(AI142="Ja",OR(AJ142="",AK142="")),"Kontogrenzen fehlen; ","")&amp;IF(AND(AL142="Mit Gehalt abgegolten (Pauschale)",AM142=""),"Überstunden-Pauschale fehlt; ",""))="","OK",IF(OR(B142="",C142="",F142="",N142="",Q142="",AB142="",AC142="",AD142="",AU142=""),"Pflichtfelder fehlen; ","")&amp;IF(AND(ISNUMBER(AC142),AC142&gt;P_MaxWoche),"Wochenstunden &gt; Prüfgrenze; ","")&amp;IF(AND(BF142="Ja",ISNUMBER(AC142),AC142&gt;P_MaxWocheJugend),"Jugendlicher &gt; 40 h/Woche; ","")&amp;IF(AND(ISNUMBER(BD142),BD142&lt;P_Mindestlohn,Q142&lt;&gt;"Auszubildende/r",Q142&lt;&gt;"Praktikant/in"),"Mindestlohn unterschritten?; ","")&amp;IF(AND(Q142="Minijob (geringfügig)",ISNUMBER(BB142),BB142&gt;P_Minijob),"Minijob-Grenze überschritten; ","")&amp;IF(AND(R142="Ja",S142=""),"Befristung ohne Enddatum; ","")&amp;IF(AND(ISNUMBER(O142),ISNUMBER(N142),O142&lt;N142),"Austritt vor Eintritt; ","")&amp;IF(AND(ISNUMBER(AU142),ISNUMBER(AV142),AU142&lt;AV142),"Urlaub unter gesetzl. Minimum; ","")&amp;IF(AND(ISNUMBER(AC142),ISNUMBER(AF142),ABS(N(AC142)-N(AF142))&gt;0.01),"Wochenstd. weichen vom Modell ab; ","")&amp;IF(AND(AI142="Ja",OR(AJ142="",AK142="")),"Kontogrenzen fehlen; ","")&amp;IF(AND(AL142="Mit Gehalt abgegolten (Pauschale)",AM142=""),"Überstunden-Pauschale fehlt; ","")))</f>
        <v/>
      </c>
      <c r="BH142" s="38"/>
    </row>
    <row r="143" customFormat="false" ht="15" hidden="false" customHeight="false" outlineLevel="0" collapsed="false">
      <c r="A143" s="37"/>
      <c r="B143" s="38"/>
      <c r="C143" s="38"/>
      <c r="D143" s="38"/>
      <c r="E143" s="38"/>
      <c r="F143" s="39"/>
      <c r="G143" s="38"/>
      <c r="H143" s="38"/>
      <c r="I143" s="37"/>
      <c r="J143" s="38"/>
      <c r="K143" s="38"/>
      <c r="L143" s="38"/>
      <c r="M143" s="38"/>
      <c r="N143" s="39"/>
      <c r="O143" s="39"/>
      <c r="P143" s="38"/>
      <c r="Q143" s="38"/>
      <c r="R143" s="38"/>
      <c r="S143" s="39"/>
      <c r="T143" s="39"/>
      <c r="U143" s="38"/>
      <c r="V143" s="38"/>
      <c r="W143" s="37"/>
      <c r="X143" s="38"/>
      <c r="Y143" s="38"/>
      <c r="Z143" s="37"/>
      <c r="AA143" s="38"/>
      <c r="AB143" s="38"/>
      <c r="AC143" s="40"/>
      <c r="AD143" s="41"/>
      <c r="AE143" s="42" t="str">
        <f aca="false">IF(OR(A143="",NOT(ISNUMBER(AC143)),NOT(ISNUMBER(AD143))),"",IF(AD143&gt;0,AC143/AD143,""))</f>
        <v/>
      </c>
      <c r="AF143" s="42" t="str">
        <f aca="false">IF(OR(A143="",AB143=""),"",IFERROR(INDEX(Arbeitszeitmodelle!$C$5:$C$34,MATCH(AB143,Arbeitszeitmodelle!$A$5:$A$34,0)),""))</f>
        <v/>
      </c>
      <c r="AG143" s="38"/>
      <c r="AH143" s="38"/>
      <c r="AI143" s="38"/>
      <c r="AJ143" s="41"/>
      <c r="AK143" s="41"/>
      <c r="AL143" s="38"/>
      <c r="AM143" s="41"/>
      <c r="AN143" s="38"/>
      <c r="AO143" s="38"/>
      <c r="AP143" s="38"/>
      <c r="AQ143" s="38"/>
      <c r="AR143" s="41"/>
      <c r="AS143" s="40"/>
      <c r="AT143" s="39"/>
      <c r="AU143" s="41"/>
      <c r="AV143" s="43" t="str">
        <f aca="false">IF(OR(A143="",NOT(ISNUMBER(AD143))),"",P_MinUrlaubWerktage/6*AD143)</f>
        <v/>
      </c>
      <c r="AW143" s="43" t="str">
        <f aca="false">IF(A143="","",IF(M143="Ja",P_ZusatzSB*IF(ISNUMBER(AD143),AD143,5)/5,0))</f>
        <v/>
      </c>
      <c r="AX143" s="41"/>
      <c r="AY143" s="39"/>
      <c r="AZ143" s="43" t="str">
        <f aca="false">IF(OR(A143="",NOT(ISNUMBER(AU143))),"",SUM(AU143,AW143,AX143))</f>
        <v/>
      </c>
      <c r="BA143" s="38"/>
      <c r="BB143" s="44"/>
      <c r="BC143" s="44"/>
      <c r="BD143" s="45" t="str">
        <f aca="false">IF(A143="","",IF(BA143="Stundenlohn",IF(ISNUMBER(BC143),BC143,""),IF(AND(ISNUMBER(BB143),ISNUMBER(AC143)),IF(AC143&gt;0,BB143*12/(AC143*52),""),"")))</f>
        <v/>
      </c>
      <c r="BE143" s="46" t="str">
        <f aca="false">IF(OR(A143="",NOT(ISNUMBER(F143))),"",IFERROR(DATEDIF(F143,P_Stichtag,"Y"),""))</f>
        <v/>
      </c>
      <c r="BF143" s="47" t="str">
        <f aca="false">IF(OR(A143="",NOT(ISNUMBER(BE143))),"",IF(BE143&lt;18,"Ja","Nein"))</f>
        <v/>
      </c>
      <c r="BG143" s="48" t="str">
        <f aca="false">IF(A143="","",IF((IF(OR(B143="",C143="",F143="",N143="",Q143="",AB143="",AC143="",AD143="",AU143=""),"Pflichtfelder fehlen; ","")&amp;IF(AND(ISNUMBER(AC143),AC143&gt;P_MaxWoche),"Wochenstunden &gt; Prüfgrenze; ","")&amp;IF(AND(BF143="Ja",ISNUMBER(AC143),AC143&gt;P_MaxWocheJugend),"Jugendlicher &gt; 40 h/Woche; ","")&amp;IF(AND(ISNUMBER(BD143),BD143&lt;P_Mindestlohn,Q143&lt;&gt;"Auszubildende/r",Q143&lt;&gt;"Praktikant/in"),"Mindestlohn unterschritten?; ","")&amp;IF(AND(Q143="Minijob (geringfügig)",ISNUMBER(BB143),BB143&gt;P_Minijob),"Minijob-Grenze überschritten; ","")&amp;IF(AND(R143="Ja",S143=""),"Befristung ohne Enddatum; ","")&amp;IF(AND(ISNUMBER(O143),ISNUMBER(N143),O143&lt;N143),"Austritt vor Eintritt; ","")&amp;IF(AND(ISNUMBER(AU143),ISNUMBER(AV143),AU143&lt;AV143),"Urlaub unter gesetzl. Minimum; ","")&amp;IF(AND(ISNUMBER(AC143),ISNUMBER(AF143),ABS(N(AC143)-N(AF143))&gt;0.01),"Wochenstd. weichen vom Modell ab; ","")&amp;IF(AND(AI143="Ja",OR(AJ143="",AK143="")),"Kontogrenzen fehlen; ","")&amp;IF(AND(AL143="Mit Gehalt abgegolten (Pauschale)",AM143=""),"Überstunden-Pauschale fehlt; ",""))="","OK",IF(OR(B143="",C143="",F143="",N143="",Q143="",AB143="",AC143="",AD143="",AU143=""),"Pflichtfelder fehlen; ","")&amp;IF(AND(ISNUMBER(AC143),AC143&gt;P_MaxWoche),"Wochenstunden &gt; Prüfgrenze; ","")&amp;IF(AND(BF143="Ja",ISNUMBER(AC143),AC143&gt;P_MaxWocheJugend),"Jugendlicher &gt; 40 h/Woche; ","")&amp;IF(AND(ISNUMBER(BD143),BD143&lt;P_Mindestlohn,Q143&lt;&gt;"Auszubildende/r",Q143&lt;&gt;"Praktikant/in"),"Mindestlohn unterschritten?; ","")&amp;IF(AND(Q143="Minijob (geringfügig)",ISNUMBER(BB143),BB143&gt;P_Minijob),"Minijob-Grenze überschritten; ","")&amp;IF(AND(R143="Ja",S143=""),"Befristung ohne Enddatum; ","")&amp;IF(AND(ISNUMBER(O143),ISNUMBER(N143),O143&lt;N143),"Austritt vor Eintritt; ","")&amp;IF(AND(ISNUMBER(AU143),ISNUMBER(AV143),AU143&lt;AV143),"Urlaub unter gesetzl. Minimum; ","")&amp;IF(AND(ISNUMBER(AC143),ISNUMBER(AF143),ABS(N(AC143)-N(AF143))&gt;0.01),"Wochenstd. weichen vom Modell ab; ","")&amp;IF(AND(AI143="Ja",OR(AJ143="",AK143="")),"Kontogrenzen fehlen; ","")&amp;IF(AND(AL143="Mit Gehalt abgegolten (Pauschale)",AM143=""),"Überstunden-Pauschale fehlt; ","")))</f>
        <v/>
      </c>
      <c r="BH143" s="38"/>
    </row>
    <row r="144" customFormat="false" ht="15" hidden="false" customHeight="false" outlineLevel="0" collapsed="false">
      <c r="A144" s="37"/>
      <c r="B144" s="38"/>
      <c r="C144" s="38"/>
      <c r="D144" s="38"/>
      <c r="E144" s="38"/>
      <c r="F144" s="39"/>
      <c r="G144" s="38"/>
      <c r="H144" s="38"/>
      <c r="I144" s="37"/>
      <c r="J144" s="38"/>
      <c r="K144" s="38"/>
      <c r="L144" s="38"/>
      <c r="M144" s="38"/>
      <c r="N144" s="39"/>
      <c r="O144" s="39"/>
      <c r="P144" s="38"/>
      <c r="Q144" s="38"/>
      <c r="R144" s="38"/>
      <c r="S144" s="39"/>
      <c r="T144" s="39"/>
      <c r="U144" s="38"/>
      <c r="V144" s="38"/>
      <c r="W144" s="37"/>
      <c r="X144" s="38"/>
      <c r="Y144" s="38"/>
      <c r="Z144" s="37"/>
      <c r="AA144" s="38"/>
      <c r="AB144" s="38"/>
      <c r="AC144" s="40"/>
      <c r="AD144" s="41"/>
      <c r="AE144" s="42" t="str">
        <f aca="false">IF(OR(A144="",NOT(ISNUMBER(AC144)),NOT(ISNUMBER(AD144))),"",IF(AD144&gt;0,AC144/AD144,""))</f>
        <v/>
      </c>
      <c r="AF144" s="42" t="str">
        <f aca="false">IF(OR(A144="",AB144=""),"",IFERROR(INDEX(Arbeitszeitmodelle!$C$5:$C$34,MATCH(AB144,Arbeitszeitmodelle!$A$5:$A$34,0)),""))</f>
        <v/>
      </c>
      <c r="AG144" s="38"/>
      <c r="AH144" s="38"/>
      <c r="AI144" s="38"/>
      <c r="AJ144" s="41"/>
      <c r="AK144" s="41"/>
      <c r="AL144" s="38"/>
      <c r="AM144" s="41"/>
      <c r="AN144" s="38"/>
      <c r="AO144" s="38"/>
      <c r="AP144" s="38"/>
      <c r="AQ144" s="38"/>
      <c r="AR144" s="41"/>
      <c r="AS144" s="40"/>
      <c r="AT144" s="39"/>
      <c r="AU144" s="41"/>
      <c r="AV144" s="43" t="str">
        <f aca="false">IF(OR(A144="",NOT(ISNUMBER(AD144))),"",P_MinUrlaubWerktage/6*AD144)</f>
        <v/>
      </c>
      <c r="AW144" s="43" t="str">
        <f aca="false">IF(A144="","",IF(M144="Ja",P_ZusatzSB*IF(ISNUMBER(AD144),AD144,5)/5,0))</f>
        <v/>
      </c>
      <c r="AX144" s="41"/>
      <c r="AY144" s="39"/>
      <c r="AZ144" s="43" t="str">
        <f aca="false">IF(OR(A144="",NOT(ISNUMBER(AU144))),"",SUM(AU144,AW144,AX144))</f>
        <v/>
      </c>
      <c r="BA144" s="38"/>
      <c r="BB144" s="44"/>
      <c r="BC144" s="44"/>
      <c r="BD144" s="45" t="str">
        <f aca="false">IF(A144="","",IF(BA144="Stundenlohn",IF(ISNUMBER(BC144),BC144,""),IF(AND(ISNUMBER(BB144),ISNUMBER(AC144)),IF(AC144&gt;0,BB144*12/(AC144*52),""),"")))</f>
        <v/>
      </c>
      <c r="BE144" s="46" t="str">
        <f aca="false">IF(OR(A144="",NOT(ISNUMBER(F144))),"",IFERROR(DATEDIF(F144,P_Stichtag,"Y"),""))</f>
        <v/>
      </c>
      <c r="BF144" s="47" t="str">
        <f aca="false">IF(OR(A144="",NOT(ISNUMBER(BE144))),"",IF(BE144&lt;18,"Ja","Nein"))</f>
        <v/>
      </c>
      <c r="BG144" s="48" t="str">
        <f aca="false">IF(A144="","",IF((IF(OR(B144="",C144="",F144="",N144="",Q144="",AB144="",AC144="",AD144="",AU144=""),"Pflichtfelder fehlen; ","")&amp;IF(AND(ISNUMBER(AC144),AC144&gt;P_MaxWoche),"Wochenstunden &gt; Prüfgrenze; ","")&amp;IF(AND(BF144="Ja",ISNUMBER(AC144),AC144&gt;P_MaxWocheJugend),"Jugendlicher &gt; 40 h/Woche; ","")&amp;IF(AND(ISNUMBER(BD144),BD144&lt;P_Mindestlohn,Q144&lt;&gt;"Auszubildende/r",Q144&lt;&gt;"Praktikant/in"),"Mindestlohn unterschritten?; ","")&amp;IF(AND(Q144="Minijob (geringfügig)",ISNUMBER(BB144),BB144&gt;P_Minijob),"Minijob-Grenze überschritten; ","")&amp;IF(AND(R144="Ja",S144=""),"Befristung ohne Enddatum; ","")&amp;IF(AND(ISNUMBER(O144),ISNUMBER(N144),O144&lt;N144),"Austritt vor Eintritt; ","")&amp;IF(AND(ISNUMBER(AU144),ISNUMBER(AV144),AU144&lt;AV144),"Urlaub unter gesetzl. Minimum; ","")&amp;IF(AND(ISNUMBER(AC144),ISNUMBER(AF144),ABS(N(AC144)-N(AF144))&gt;0.01),"Wochenstd. weichen vom Modell ab; ","")&amp;IF(AND(AI144="Ja",OR(AJ144="",AK144="")),"Kontogrenzen fehlen; ","")&amp;IF(AND(AL144="Mit Gehalt abgegolten (Pauschale)",AM144=""),"Überstunden-Pauschale fehlt; ",""))="","OK",IF(OR(B144="",C144="",F144="",N144="",Q144="",AB144="",AC144="",AD144="",AU144=""),"Pflichtfelder fehlen; ","")&amp;IF(AND(ISNUMBER(AC144),AC144&gt;P_MaxWoche),"Wochenstunden &gt; Prüfgrenze; ","")&amp;IF(AND(BF144="Ja",ISNUMBER(AC144),AC144&gt;P_MaxWocheJugend),"Jugendlicher &gt; 40 h/Woche; ","")&amp;IF(AND(ISNUMBER(BD144),BD144&lt;P_Mindestlohn,Q144&lt;&gt;"Auszubildende/r",Q144&lt;&gt;"Praktikant/in"),"Mindestlohn unterschritten?; ","")&amp;IF(AND(Q144="Minijob (geringfügig)",ISNUMBER(BB144),BB144&gt;P_Minijob),"Minijob-Grenze überschritten; ","")&amp;IF(AND(R144="Ja",S144=""),"Befristung ohne Enddatum; ","")&amp;IF(AND(ISNUMBER(O144),ISNUMBER(N144),O144&lt;N144),"Austritt vor Eintritt; ","")&amp;IF(AND(ISNUMBER(AU144),ISNUMBER(AV144),AU144&lt;AV144),"Urlaub unter gesetzl. Minimum; ","")&amp;IF(AND(ISNUMBER(AC144),ISNUMBER(AF144),ABS(N(AC144)-N(AF144))&gt;0.01),"Wochenstd. weichen vom Modell ab; ","")&amp;IF(AND(AI144="Ja",OR(AJ144="",AK144="")),"Kontogrenzen fehlen; ","")&amp;IF(AND(AL144="Mit Gehalt abgegolten (Pauschale)",AM144=""),"Überstunden-Pauschale fehlt; ","")))</f>
        <v/>
      </c>
      <c r="BH144" s="38"/>
    </row>
    <row r="145" customFormat="false" ht="15" hidden="false" customHeight="false" outlineLevel="0" collapsed="false">
      <c r="A145" s="37"/>
      <c r="B145" s="38"/>
      <c r="C145" s="38"/>
      <c r="D145" s="38"/>
      <c r="E145" s="38"/>
      <c r="F145" s="39"/>
      <c r="G145" s="38"/>
      <c r="H145" s="38"/>
      <c r="I145" s="37"/>
      <c r="J145" s="38"/>
      <c r="K145" s="38"/>
      <c r="L145" s="38"/>
      <c r="M145" s="38"/>
      <c r="N145" s="39"/>
      <c r="O145" s="39"/>
      <c r="P145" s="38"/>
      <c r="Q145" s="38"/>
      <c r="R145" s="38"/>
      <c r="S145" s="39"/>
      <c r="T145" s="39"/>
      <c r="U145" s="38"/>
      <c r="V145" s="38"/>
      <c r="W145" s="37"/>
      <c r="X145" s="38"/>
      <c r="Y145" s="38"/>
      <c r="Z145" s="37"/>
      <c r="AA145" s="38"/>
      <c r="AB145" s="38"/>
      <c r="AC145" s="40"/>
      <c r="AD145" s="41"/>
      <c r="AE145" s="42" t="str">
        <f aca="false">IF(OR(A145="",NOT(ISNUMBER(AC145)),NOT(ISNUMBER(AD145))),"",IF(AD145&gt;0,AC145/AD145,""))</f>
        <v/>
      </c>
      <c r="AF145" s="42" t="str">
        <f aca="false">IF(OR(A145="",AB145=""),"",IFERROR(INDEX(Arbeitszeitmodelle!$C$5:$C$34,MATCH(AB145,Arbeitszeitmodelle!$A$5:$A$34,0)),""))</f>
        <v/>
      </c>
      <c r="AG145" s="38"/>
      <c r="AH145" s="38"/>
      <c r="AI145" s="38"/>
      <c r="AJ145" s="41"/>
      <c r="AK145" s="41"/>
      <c r="AL145" s="38"/>
      <c r="AM145" s="41"/>
      <c r="AN145" s="38"/>
      <c r="AO145" s="38"/>
      <c r="AP145" s="38"/>
      <c r="AQ145" s="38"/>
      <c r="AR145" s="41"/>
      <c r="AS145" s="40"/>
      <c r="AT145" s="39"/>
      <c r="AU145" s="41"/>
      <c r="AV145" s="43" t="str">
        <f aca="false">IF(OR(A145="",NOT(ISNUMBER(AD145))),"",P_MinUrlaubWerktage/6*AD145)</f>
        <v/>
      </c>
      <c r="AW145" s="43" t="str">
        <f aca="false">IF(A145="","",IF(M145="Ja",P_ZusatzSB*IF(ISNUMBER(AD145),AD145,5)/5,0))</f>
        <v/>
      </c>
      <c r="AX145" s="41"/>
      <c r="AY145" s="39"/>
      <c r="AZ145" s="43" t="str">
        <f aca="false">IF(OR(A145="",NOT(ISNUMBER(AU145))),"",SUM(AU145,AW145,AX145))</f>
        <v/>
      </c>
      <c r="BA145" s="38"/>
      <c r="BB145" s="44"/>
      <c r="BC145" s="44"/>
      <c r="BD145" s="45" t="str">
        <f aca="false">IF(A145="","",IF(BA145="Stundenlohn",IF(ISNUMBER(BC145),BC145,""),IF(AND(ISNUMBER(BB145),ISNUMBER(AC145)),IF(AC145&gt;0,BB145*12/(AC145*52),""),"")))</f>
        <v/>
      </c>
      <c r="BE145" s="46" t="str">
        <f aca="false">IF(OR(A145="",NOT(ISNUMBER(F145))),"",IFERROR(DATEDIF(F145,P_Stichtag,"Y"),""))</f>
        <v/>
      </c>
      <c r="BF145" s="47" t="str">
        <f aca="false">IF(OR(A145="",NOT(ISNUMBER(BE145))),"",IF(BE145&lt;18,"Ja","Nein"))</f>
        <v/>
      </c>
      <c r="BG145" s="48" t="str">
        <f aca="false">IF(A145="","",IF((IF(OR(B145="",C145="",F145="",N145="",Q145="",AB145="",AC145="",AD145="",AU145=""),"Pflichtfelder fehlen; ","")&amp;IF(AND(ISNUMBER(AC145),AC145&gt;P_MaxWoche),"Wochenstunden &gt; Prüfgrenze; ","")&amp;IF(AND(BF145="Ja",ISNUMBER(AC145),AC145&gt;P_MaxWocheJugend),"Jugendlicher &gt; 40 h/Woche; ","")&amp;IF(AND(ISNUMBER(BD145),BD145&lt;P_Mindestlohn,Q145&lt;&gt;"Auszubildende/r",Q145&lt;&gt;"Praktikant/in"),"Mindestlohn unterschritten?; ","")&amp;IF(AND(Q145="Minijob (geringfügig)",ISNUMBER(BB145),BB145&gt;P_Minijob),"Minijob-Grenze überschritten; ","")&amp;IF(AND(R145="Ja",S145=""),"Befristung ohne Enddatum; ","")&amp;IF(AND(ISNUMBER(O145),ISNUMBER(N145),O145&lt;N145),"Austritt vor Eintritt; ","")&amp;IF(AND(ISNUMBER(AU145),ISNUMBER(AV145),AU145&lt;AV145),"Urlaub unter gesetzl. Minimum; ","")&amp;IF(AND(ISNUMBER(AC145),ISNUMBER(AF145),ABS(N(AC145)-N(AF145))&gt;0.01),"Wochenstd. weichen vom Modell ab; ","")&amp;IF(AND(AI145="Ja",OR(AJ145="",AK145="")),"Kontogrenzen fehlen; ","")&amp;IF(AND(AL145="Mit Gehalt abgegolten (Pauschale)",AM145=""),"Überstunden-Pauschale fehlt; ",""))="","OK",IF(OR(B145="",C145="",F145="",N145="",Q145="",AB145="",AC145="",AD145="",AU145=""),"Pflichtfelder fehlen; ","")&amp;IF(AND(ISNUMBER(AC145),AC145&gt;P_MaxWoche),"Wochenstunden &gt; Prüfgrenze; ","")&amp;IF(AND(BF145="Ja",ISNUMBER(AC145),AC145&gt;P_MaxWocheJugend),"Jugendlicher &gt; 40 h/Woche; ","")&amp;IF(AND(ISNUMBER(BD145),BD145&lt;P_Mindestlohn,Q145&lt;&gt;"Auszubildende/r",Q145&lt;&gt;"Praktikant/in"),"Mindestlohn unterschritten?; ","")&amp;IF(AND(Q145="Minijob (geringfügig)",ISNUMBER(BB145),BB145&gt;P_Minijob),"Minijob-Grenze überschritten; ","")&amp;IF(AND(R145="Ja",S145=""),"Befristung ohne Enddatum; ","")&amp;IF(AND(ISNUMBER(O145),ISNUMBER(N145),O145&lt;N145),"Austritt vor Eintritt; ","")&amp;IF(AND(ISNUMBER(AU145),ISNUMBER(AV145),AU145&lt;AV145),"Urlaub unter gesetzl. Minimum; ","")&amp;IF(AND(ISNUMBER(AC145),ISNUMBER(AF145),ABS(N(AC145)-N(AF145))&gt;0.01),"Wochenstd. weichen vom Modell ab; ","")&amp;IF(AND(AI145="Ja",OR(AJ145="",AK145="")),"Kontogrenzen fehlen; ","")&amp;IF(AND(AL145="Mit Gehalt abgegolten (Pauschale)",AM145=""),"Überstunden-Pauschale fehlt; ","")))</f>
        <v/>
      </c>
      <c r="BH145" s="38"/>
    </row>
    <row r="146" customFormat="false" ht="15" hidden="false" customHeight="false" outlineLevel="0" collapsed="false">
      <c r="A146" s="37"/>
      <c r="B146" s="38"/>
      <c r="C146" s="38"/>
      <c r="D146" s="38"/>
      <c r="E146" s="38"/>
      <c r="F146" s="39"/>
      <c r="G146" s="38"/>
      <c r="H146" s="38"/>
      <c r="I146" s="37"/>
      <c r="J146" s="38"/>
      <c r="K146" s="38"/>
      <c r="L146" s="38"/>
      <c r="M146" s="38"/>
      <c r="N146" s="39"/>
      <c r="O146" s="39"/>
      <c r="P146" s="38"/>
      <c r="Q146" s="38"/>
      <c r="R146" s="38"/>
      <c r="S146" s="39"/>
      <c r="T146" s="39"/>
      <c r="U146" s="38"/>
      <c r="V146" s="38"/>
      <c r="W146" s="37"/>
      <c r="X146" s="38"/>
      <c r="Y146" s="38"/>
      <c r="Z146" s="37"/>
      <c r="AA146" s="38"/>
      <c r="AB146" s="38"/>
      <c r="AC146" s="40"/>
      <c r="AD146" s="41"/>
      <c r="AE146" s="42" t="str">
        <f aca="false">IF(OR(A146="",NOT(ISNUMBER(AC146)),NOT(ISNUMBER(AD146))),"",IF(AD146&gt;0,AC146/AD146,""))</f>
        <v/>
      </c>
      <c r="AF146" s="42" t="str">
        <f aca="false">IF(OR(A146="",AB146=""),"",IFERROR(INDEX(Arbeitszeitmodelle!$C$5:$C$34,MATCH(AB146,Arbeitszeitmodelle!$A$5:$A$34,0)),""))</f>
        <v/>
      </c>
      <c r="AG146" s="38"/>
      <c r="AH146" s="38"/>
      <c r="AI146" s="38"/>
      <c r="AJ146" s="41"/>
      <c r="AK146" s="41"/>
      <c r="AL146" s="38"/>
      <c r="AM146" s="41"/>
      <c r="AN146" s="38"/>
      <c r="AO146" s="38"/>
      <c r="AP146" s="38"/>
      <c r="AQ146" s="38"/>
      <c r="AR146" s="41"/>
      <c r="AS146" s="40"/>
      <c r="AT146" s="39"/>
      <c r="AU146" s="41"/>
      <c r="AV146" s="43" t="str">
        <f aca="false">IF(OR(A146="",NOT(ISNUMBER(AD146))),"",P_MinUrlaubWerktage/6*AD146)</f>
        <v/>
      </c>
      <c r="AW146" s="43" t="str">
        <f aca="false">IF(A146="","",IF(M146="Ja",P_ZusatzSB*IF(ISNUMBER(AD146),AD146,5)/5,0))</f>
        <v/>
      </c>
      <c r="AX146" s="41"/>
      <c r="AY146" s="39"/>
      <c r="AZ146" s="43" t="str">
        <f aca="false">IF(OR(A146="",NOT(ISNUMBER(AU146))),"",SUM(AU146,AW146,AX146))</f>
        <v/>
      </c>
      <c r="BA146" s="38"/>
      <c r="BB146" s="44"/>
      <c r="BC146" s="44"/>
      <c r="BD146" s="45" t="str">
        <f aca="false">IF(A146="","",IF(BA146="Stundenlohn",IF(ISNUMBER(BC146),BC146,""),IF(AND(ISNUMBER(BB146),ISNUMBER(AC146)),IF(AC146&gt;0,BB146*12/(AC146*52),""),"")))</f>
        <v/>
      </c>
      <c r="BE146" s="46" t="str">
        <f aca="false">IF(OR(A146="",NOT(ISNUMBER(F146))),"",IFERROR(DATEDIF(F146,P_Stichtag,"Y"),""))</f>
        <v/>
      </c>
      <c r="BF146" s="47" t="str">
        <f aca="false">IF(OR(A146="",NOT(ISNUMBER(BE146))),"",IF(BE146&lt;18,"Ja","Nein"))</f>
        <v/>
      </c>
      <c r="BG146" s="48" t="str">
        <f aca="false">IF(A146="","",IF((IF(OR(B146="",C146="",F146="",N146="",Q146="",AB146="",AC146="",AD146="",AU146=""),"Pflichtfelder fehlen; ","")&amp;IF(AND(ISNUMBER(AC146),AC146&gt;P_MaxWoche),"Wochenstunden &gt; Prüfgrenze; ","")&amp;IF(AND(BF146="Ja",ISNUMBER(AC146),AC146&gt;P_MaxWocheJugend),"Jugendlicher &gt; 40 h/Woche; ","")&amp;IF(AND(ISNUMBER(BD146),BD146&lt;P_Mindestlohn,Q146&lt;&gt;"Auszubildende/r",Q146&lt;&gt;"Praktikant/in"),"Mindestlohn unterschritten?; ","")&amp;IF(AND(Q146="Minijob (geringfügig)",ISNUMBER(BB146),BB146&gt;P_Minijob),"Minijob-Grenze überschritten; ","")&amp;IF(AND(R146="Ja",S146=""),"Befristung ohne Enddatum; ","")&amp;IF(AND(ISNUMBER(O146),ISNUMBER(N146),O146&lt;N146),"Austritt vor Eintritt; ","")&amp;IF(AND(ISNUMBER(AU146),ISNUMBER(AV146),AU146&lt;AV146),"Urlaub unter gesetzl. Minimum; ","")&amp;IF(AND(ISNUMBER(AC146),ISNUMBER(AF146),ABS(N(AC146)-N(AF146))&gt;0.01),"Wochenstd. weichen vom Modell ab; ","")&amp;IF(AND(AI146="Ja",OR(AJ146="",AK146="")),"Kontogrenzen fehlen; ","")&amp;IF(AND(AL146="Mit Gehalt abgegolten (Pauschale)",AM146=""),"Überstunden-Pauschale fehlt; ",""))="","OK",IF(OR(B146="",C146="",F146="",N146="",Q146="",AB146="",AC146="",AD146="",AU146=""),"Pflichtfelder fehlen; ","")&amp;IF(AND(ISNUMBER(AC146),AC146&gt;P_MaxWoche),"Wochenstunden &gt; Prüfgrenze; ","")&amp;IF(AND(BF146="Ja",ISNUMBER(AC146),AC146&gt;P_MaxWocheJugend),"Jugendlicher &gt; 40 h/Woche; ","")&amp;IF(AND(ISNUMBER(BD146),BD146&lt;P_Mindestlohn,Q146&lt;&gt;"Auszubildende/r",Q146&lt;&gt;"Praktikant/in"),"Mindestlohn unterschritten?; ","")&amp;IF(AND(Q146="Minijob (geringfügig)",ISNUMBER(BB146),BB146&gt;P_Minijob),"Minijob-Grenze überschritten; ","")&amp;IF(AND(R146="Ja",S146=""),"Befristung ohne Enddatum; ","")&amp;IF(AND(ISNUMBER(O146),ISNUMBER(N146),O146&lt;N146),"Austritt vor Eintritt; ","")&amp;IF(AND(ISNUMBER(AU146),ISNUMBER(AV146),AU146&lt;AV146),"Urlaub unter gesetzl. Minimum; ","")&amp;IF(AND(ISNUMBER(AC146),ISNUMBER(AF146),ABS(N(AC146)-N(AF146))&gt;0.01),"Wochenstd. weichen vom Modell ab; ","")&amp;IF(AND(AI146="Ja",OR(AJ146="",AK146="")),"Kontogrenzen fehlen; ","")&amp;IF(AND(AL146="Mit Gehalt abgegolten (Pauschale)",AM146=""),"Überstunden-Pauschale fehlt; ","")))</f>
        <v/>
      </c>
      <c r="BH146" s="38"/>
    </row>
    <row r="147" customFormat="false" ht="15" hidden="false" customHeight="false" outlineLevel="0" collapsed="false">
      <c r="A147" s="37"/>
      <c r="B147" s="38"/>
      <c r="C147" s="38"/>
      <c r="D147" s="38"/>
      <c r="E147" s="38"/>
      <c r="F147" s="39"/>
      <c r="G147" s="38"/>
      <c r="H147" s="38"/>
      <c r="I147" s="37"/>
      <c r="J147" s="38"/>
      <c r="K147" s="38"/>
      <c r="L147" s="38"/>
      <c r="M147" s="38"/>
      <c r="N147" s="39"/>
      <c r="O147" s="39"/>
      <c r="P147" s="38"/>
      <c r="Q147" s="38"/>
      <c r="R147" s="38"/>
      <c r="S147" s="39"/>
      <c r="T147" s="39"/>
      <c r="U147" s="38"/>
      <c r="V147" s="38"/>
      <c r="W147" s="37"/>
      <c r="X147" s="38"/>
      <c r="Y147" s="38"/>
      <c r="Z147" s="37"/>
      <c r="AA147" s="38"/>
      <c r="AB147" s="38"/>
      <c r="AC147" s="40"/>
      <c r="AD147" s="41"/>
      <c r="AE147" s="42" t="str">
        <f aca="false">IF(OR(A147="",NOT(ISNUMBER(AC147)),NOT(ISNUMBER(AD147))),"",IF(AD147&gt;0,AC147/AD147,""))</f>
        <v/>
      </c>
      <c r="AF147" s="42" t="str">
        <f aca="false">IF(OR(A147="",AB147=""),"",IFERROR(INDEX(Arbeitszeitmodelle!$C$5:$C$34,MATCH(AB147,Arbeitszeitmodelle!$A$5:$A$34,0)),""))</f>
        <v/>
      </c>
      <c r="AG147" s="38"/>
      <c r="AH147" s="38"/>
      <c r="AI147" s="38"/>
      <c r="AJ147" s="41"/>
      <c r="AK147" s="41"/>
      <c r="AL147" s="38"/>
      <c r="AM147" s="41"/>
      <c r="AN147" s="38"/>
      <c r="AO147" s="38"/>
      <c r="AP147" s="38"/>
      <c r="AQ147" s="38"/>
      <c r="AR147" s="41"/>
      <c r="AS147" s="40"/>
      <c r="AT147" s="39"/>
      <c r="AU147" s="41"/>
      <c r="AV147" s="43" t="str">
        <f aca="false">IF(OR(A147="",NOT(ISNUMBER(AD147))),"",P_MinUrlaubWerktage/6*AD147)</f>
        <v/>
      </c>
      <c r="AW147" s="43" t="str">
        <f aca="false">IF(A147="","",IF(M147="Ja",P_ZusatzSB*IF(ISNUMBER(AD147),AD147,5)/5,0))</f>
        <v/>
      </c>
      <c r="AX147" s="41"/>
      <c r="AY147" s="39"/>
      <c r="AZ147" s="43" t="str">
        <f aca="false">IF(OR(A147="",NOT(ISNUMBER(AU147))),"",SUM(AU147,AW147,AX147))</f>
        <v/>
      </c>
      <c r="BA147" s="38"/>
      <c r="BB147" s="44"/>
      <c r="BC147" s="44"/>
      <c r="BD147" s="45" t="str">
        <f aca="false">IF(A147="","",IF(BA147="Stundenlohn",IF(ISNUMBER(BC147),BC147,""),IF(AND(ISNUMBER(BB147),ISNUMBER(AC147)),IF(AC147&gt;0,BB147*12/(AC147*52),""),"")))</f>
        <v/>
      </c>
      <c r="BE147" s="46" t="str">
        <f aca="false">IF(OR(A147="",NOT(ISNUMBER(F147))),"",IFERROR(DATEDIF(F147,P_Stichtag,"Y"),""))</f>
        <v/>
      </c>
      <c r="BF147" s="47" t="str">
        <f aca="false">IF(OR(A147="",NOT(ISNUMBER(BE147))),"",IF(BE147&lt;18,"Ja","Nein"))</f>
        <v/>
      </c>
      <c r="BG147" s="48" t="str">
        <f aca="false">IF(A147="","",IF((IF(OR(B147="",C147="",F147="",N147="",Q147="",AB147="",AC147="",AD147="",AU147=""),"Pflichtfelder fehlen; ","")&amp;IF(AND(ISNUMBER(AC147),AC147&gt;P_MaxWoche),"Wochenstunden &gt; Prüfgrenze; ","")&amp;IF(AND(BF147="Ja",ISNUMBER(AC147),AC147&gt;P_MaxWocheJugend),"Jugendlicher &gt; 40 h/Woche; ","")&amp;IF(AND(ISNUMBER(BD147),BD147&lt;P_Mindestlohn,Q147&lt;&gt;"Auszubildende/r",Q147&lt;&gt;"Praktikant/in"),"Mindestlohn unterschritten?; ","")&amp;IF(AND(Q147="Minijob (geringfügig)",ISNUMBER(BB147),BB147&gt;P_Minijob),"Minijob-Grenze überschritten; ","")&amp;IF(AND(R147="Ja",S147=""),"Befristung ohne Enddatum; ","")&amp;IF(AND(ISNUMBER(O147),ISNUMBER(N147),O147&lt;N147),"Austritt vor Eintritt; ","")&amp;IF(AND(ISNUMBER(AU147),ISNUMBER(AV147),AU147&lt;AV147),"Urlaub unter gesetzl. Minimum; ","")&amp;IF(AND(ISNUMBER(AC147),ISNUMBER(AF147),ABS(N(AC147)-N(AF147))&gt;0.01),"Wochenstd. weichen vom Modell ab; ","")&amp;IF(AND(AI147="Ja",OR(AJ147="",AK147="")),"Kontogrenzen fehlen; ","")&amp;IF(AND(AL147="Mit Gehalt abgegolten (Pauschale)",AM147=""),"Überstunden-Pauschale fehlt; ",""))="","OK",IF(OR(B147="",C147="",F147="",N147="",Q147="",AB147="",AC147="",AD147="",AU147=""),"Pflichtfelder fehlen; ","")&amp;IF(AND(ISNUMBER(AC147),AC147&gt;P_MaxWoche),"Wochenstunden &gt; Prüfgrenze; ","")&amp;IF(AND(BF147="Ja",ISNUMBER(AC147),AC147&gt;P_MaxWocheJugend),"Jugendlicher &gt; 40 h/Woche; ","")&amp;IF(AND(ISNUMBER(BD147),BD147&lt;P_Mindestlohn,Q147&lt;&gt;"Auszubildende/r",Q147&lt;&gt;"Praktikant/in"),"Mindestlohn unterschritten?; ","")&amp;IF(AND(Q147="Minijob (geringfügig)",ISNUMBER(BB147),BB147&gt;P_Minijob),"Minijob-Grenze überschritten; ","")&amp;IF(AND(R147="Ja",S147=""),"Befristung ohne Enddatum; ","")&amp;IF(AND(ISNUMBER(O147),ISNUMBER(N147),O147&lt;N147),"Austritt vor Eintritt; ","")&amp;IF(AND(ISNUMBER(AU147),ISNUMBER(AV147),AU147&lt;AV147),"Urlaub unter gesetzl. Minimum; ","")&amp;IF(AND(ISNUMBER(AC147),ISNUMBER(AF147),ABS(N(AC147)-N(AF147))&gt;0.01),"Wochenstd. weichen vom Modell ab; ","")&amp;IF(AND(AI147="Ja",OR(AJ147="",AK147="")),"Kontogrenzen fehlen; ","")&amp;IF(AND(AL147="Mit Gehalt abgegolten (Pauschale)",AM147=""),"Überstunden-Pauschale fehlt; ","")))</f>
        <v/>
      </c>
      <c r="BH147" s="38"/>
    </row>
    <row r="148" customFormat="false" ht="15" hidden="false" customHeight="false" outlineLevel="0" collapsed="false">
      <c r="A148" s="37"/>
      <c r="B148" s="38"/>
      <c r="C148" s="38"/>
      <c r="D148" s="38"/>
      <c r="E148" s="38"/>
      <c r="F148" s="39"/>
      <c r="G148" s="38"/>
      <c r="H148" s="38"/>
      <c r="I148" s="37"/>
      <c r="J148" s="38"/>
      <c r="K148" s="38"/>
      <c r="L148" s="38"/>
      <c r="M148" s="38"/>
      <c r="N148" s="39"/>
      <c r="O148" s="39"/>
      <c r="P148" s="38"/>
      <c r="Q148" s="38"/>
      <c r="R148" s="38"/>
      <c r="S148" s="39"/>
      <c r="T148" s="39"/>
      <c r="U148" s="38"/>
      <c r="V148" s="38"/>
      <c r="W148" s="37"/>
      <c r="X148" s="38"/>
      <c r="Y148" s="38"/>
      <c r="Z148" s="37"/>
      <c r="AA148" s="38"/>
      <c r="AB148" s="38"/>
      <c r="AC148" s="40"/>
      <c r="AD148" s="41"/>
      <c r="AE148" s="42" t="str">
        <f aca="false">IF(OR(A148="",NOT(ISNUMBER(AC148)),NOT(ISNUMBER(AD148))),"",IF(AD148&gt;0,AC148/AD148,""))</f>
        <v/>
      </c>
      <c r="AF148" s="42" t="str">
        <f aca="false">IF(OR(A148="",AB148=""),"",IFERROR(INDEX(Arbeitszeitmodelle!$C$5:$C$34,MATCH(AB148,Arbeitszeitmodelle!$A$5:$A$34,0)),""))</f>
        <v/>
      </c>
      <c r="AG148" s="38"/>
      <c r="AH148" s="38"/>
      <c r="AI148" s="38"/>
      <c r="AJ148" s="41"/>
      <c r="AK148" s="41"/>
      <c r="AL148" s="38"/>
      <c r="AM148" s="41"/>
      <c r="AN148" s="38"/>
      <c r="AO148" s="38"/>
      <c r="AP148" s="38"/>
      <c r="AQ148" s="38"/>
      <c r="AR148" s="41"/>
      <c r="AS148" s="40"/>
      <c r="AT148" s="39"/>
      <c r="AU148" s="41"/>
      <c r="AV148" s="43" t="str">
        <f aca="false">IF(OR(A148="",NOT(ISNUMBER(AD148))),"",P_MinUrlaubWerktage/6*AD148)</f>
        <v/>
      </c>
      <c r="AW148" s="43" t="str">
        <f aca="false">IF(A148="","",IF(M148="Ja",P_ZusatzSB*IF(ISNUMBER(AD148),AD148,5)/5,0))</f>
        <v/>
      </c>
      <c r="AX148" s="41"/>
      <c r="AY148" s="39"/>
      <c r="AZ148" s="43" t="str">
        <f aca="false">IF(OR(A148="",NOT(ISNUMBER(AU148))),"",SUM(AU148,AW148,AX148))</f>
        <v/>
      </c>
      <c r="BA148" s="38"/>
      <c r="BB148" s="44"/>
      <c r="BC148" s="44"/>
      <c r="BD148" s="45" t="str">
        <f aca="false">IF(A148="","",IF(BA148="Stundenlohn",IF(ISNUMBER(BC148),BC148,""),IF(AND(ISNUMBER(BB148),ISNUMBER(AC148)),IF(AC148&gt;0,BB148*12/(AC148*52),""),"")))</f>
        <v/>
      </c>
      <c r="BE148" s="46" t="str">
        <f aca="false">IF(OR(A148="",NOT(ISNUMBER(F148))),"",IFERROR(DATEDIF(F148,P_Stichtag,"Y"),""))</f>
        <v/>
      </c>
      <c r="BF148" s="47" t="str">
        <f aca="false">IF(OR(A148="",NOT(ISNUMBER(BE148))),"",IF(BE148&lt;18,"Ja","Nein"))</f>
        <v/>
      </c>
      <c r="BG148" s="48" t="str">
        <f aca="false">IF(A148="","",IF((IF(OR(B148="",C148="",F148="",N148="",Q148="",AB148="",AC148="",AD148="",AU148=""),"Pflichtfelder fehlen; ","")&amp;IF(AND(ISNUMBER(AC148),AC148&gt;P_MaxWoche),"Wochenstunden &gt; Prüfgrenze; ","")&amp;IF(AND(BF148="Ja",ISNUMBER(AC148),AC148&gt;P_MaxWocheJugend),"Jugendlicher &gt; 40 h/Woche; ","")&amp;IF(AND(ISNUMBER(BD148),BD148&lt;P_Mindestlohn,Q148&lt;&gt;"Auszubildende/r",Q148&lt;&gt;"Praktikant/in"),"Mindestlohn unterschritten?; ","")&amp;IF(AND(Q148="Minijob (geringfügig)",ISNUMBER(BB148),BB148&gt;P_Minijob),"Minijob-Grenze überschritten; ","")&amp;IF(AND(R148="Ja",S148=""),"Befristung ohne Enddatum; ","")&amp;IF(AND(ISNUMBER(O148),ISNUMBER(N148),O148&lt;N148),"Austritt vor Eintritt; ","")&amp;IF(AND(ISNUMBER(AU148),ISNUMBER(AV148),AU148&lt;AV148),"Urlaub unter gesetzl. Minimum; ","")&amp;IF(AND(ISNUMBER(AC148),ISNUMBER(AF148),ABS(N(AC148)-N(AF148))&gt;0.01),"Wochenstd. weichen vom Modell ab; ","")&amp;IF(AND(AI148="Ja",OR(AJ148="",AK148="")),"Kontogrenzen fehlen; ","")&amp;IF(AND(AL148="Mit Gehalt abgegolten (Pauschale)",AM148=""),"Überstunden-Pauschale fehlt; ",""))="","OK",IF(OR(B148="",C148="",F148="",N148="",Q148="",AB148="",AC148="",AD148="",AU148=""),"Pflichtfelder fehlen; ","")&amp;IF(AND(ISNUMBER(AC148),AC148&gt;P_MaxWoche),"Wochenstunden &gt; Prüfgrenze; ","")&amp;IF(AND(BF148="Ja",ISNUMBER(AC148),AC148&gt;P_MaxWocheJugend),"Jugendlicher &gt; 40 h/Woche; ","")&amp;IF(AND(ISNUMBER(BD148),BD148&lt;P_Mindestlohn,Q148&lt;&gt;"Auszubildende/r",Q148&lt;&gt;"Praktikant/in"),"Mindestlohn unterschritten?; ","")&amp;IF(AND(Q148="Minijob (geringfügig)",ISNUMBER(BB148),BB148&gt;P_Minijob),"Minijob-Grenze überschritten; ","")&amp;IF(AND(R148="Ja",S148=""),"Befristung ohne Enddatum; ","")&amp;IF(AND(ISNUMBER(O148),ISNUMBER(N148),O148&lt;N148),"Austritt vor Eintritt; ","")&amp;IF(AND(ISNUMBER(AU148),ISNUMBER(AV148),AU148&lt;AV148),"Urlaub unter gesetzl. Minimum; ","")&amp;IF(AND(ISNUMBER(AC148),ISNUMBER(AF148),ABS(N(AC148)-N(AF148))&gt;0.01),"Wochenstd. weichen vom Modell ab; ","")&amp;IF(AND(AI148="Ja",OR(AJ148="",AK148="")),"Kontogrenzen fehlen; ","")&amp;IF(AND(AL148="Mit Gehalt abgegolten (Pauschale)",AM148=""),"Überstunden-Pauschale fehlt; ","")))</f>
        <v/>
      </c>
      <c r="BH148" s="38"/>
    </row>
    <row r="149" customFormat="false" ht="15" hidden="false" customHeight="false" outlineLevel="0" collapsed="false">
      <c r="A149" s="37"/>
      <c r="B149" s="38"/>
      <c r="C149" s="38"/>
      <c r="D149" s="38"/>
      <c r="E149" s="38"/>
      <c r="F149" s="39"/>
      <c r="G149" s="38"/>
      <c r="H149" s="38"/>
      <c r="I149" s="37"/>
      <c r="J149" s="38"/>
      <c r="K149" s="38"/>
      <c r="L149" s="38"/>
      <c r="M149" s="38"/>
      <c r="N149" s="39"/>
      <c r="O149" s="39"/>
      <c r="P149" s="38"/>
      <c r="Q149" s="38"/>
      <c r="R149" s="38"/>
      <c r="S149" s="39"/>
      <c r="T149" s="39"/>
      <c r="U149" s="38"/>
      <c r="V149" s="38"/>
      <c r="W149" s="37"/>
      <c r="X149" s="38"/>
      <c r="Y149" s="38"/>
      <c r="Z149" s="37"/>
      <c r="AA149" s="38"/>
      <c r="AB149" s="38"/>
      <c r="AC149" s="40"/>
      <c r="AD149" s="41"/>
      <c r="AE149" s="42" t="str">
        <f aca="false">IF(OR(A149="",NOT(ISNUMBER(AC149)),NOT(ISNUMBER(AD149))),"",IF(AD149&gt;0,AC149/AD149,""))</f>
        <v/>
      </c>
      <c r="AF149" s="42" t="str">
        <f aca="false">IF(OR(A149="",AB149=""),"",IFERROR(INDEX(Arbeitszeitmodelle!$C$5:$C$34,MATCH(AB149,Arbeitszeitmodelle!$A$5:$A$34,0)),""))</f>
        <v/>
      </c>
      <c r="AG149" s="38"/>
      <c r="AH149" s="38"/>
      <c r="AI149" s="38"/>
      <c r="AJ149" s="41"/>
      <c r="AK149" s="41"/>
      <c r="AL149" s="38"/>
      <c r="AM149" s="41"/>
      <c r="AN149" s="38"/>
      <c r="AO149" s="38"/>
      <c r="AP149" s="38"/>
      <c r="AQ149" s="38"/>
      <c r="AR149" s="41"/>
      <c r="AS149" s="40"/>
      <c r="AT149" s="39"/>
      <c r="AU149" s="41"/>
      <c r="AV149" s="43" t="str">
        <f aca="false">IF(OR(A149="",NOT(ISNUMBER(AD149))),"",P_MinUrlaubWerktage/6*AD149)</f>
        <v/>
      </c>
      <c r="AW149" s="43" t="str">
        <f aca="false">IF(A149="","",IF(M149="Ja",P_ZusatzSB*IF(ISNUMBER(AD149),AD149,5)/5,0))</f>
        <v/>
      </c>
      <c r="AX149" s="41"/>
      <c r="AY149" s="39"/>
      <c r="AZ149" s="43" t="str">
        <f aca="false">IF(OR(A149="",NOT(ISNUMBER(AU149))),"",SUM(AU149,AW149,AX149))</f>
        <v/>
      </c>
      <c r="BA149" s="38"/>
      <c r="BB149" s="44"/>
      <c r="BC149" s="44"/>
      <c r="BD149" s="45" t="str">
        <f aca="false">IF(A149="","",IF(BA149="Stundenlohn",IF(ISNUMBER(BC149),BC149,""),IF(AND(ISNUMBER(BB149),ISNUMBER(AC149)),IF(AC149&gt;0,BB149*12/(AC149*52),""),"")))</f>
        <v/>
      </c>
      <c r="BE149" s="46" t="str">
        <f aca="false">IF(OR(A149="",NOT(ISNUMBER(F149))),"",IFERROR(DATEDIF(F149,P_Stichtag,"Y"),""))</f>
        <v/>
      </c>
      <c r="BF149" s="47" t="str">
        <f aca="false">IF(OR(A149="",NOT(ISNUMBER(BE149))),"",IF(BE149&lt;18,"Ja","Nein"))</f>
        <v/>
      </c>
      <c r="BG149" s="48" t="str">
        <f aca="false">IF(A149="","",IF((IF(OR(B149="",C149="",F149="",N149="",Q149="",AB149="",AC149="",AD149="",AU149=""),"Pflichtfelder fehlen; ","")&amp;IF(AND(ISNUMBER(AC149),AC149&gt;P_MaxWoche),"Wochenstunden &gt; Prüfgrenze; ","")&amp;IF(AND(BF149="Ja",ISNUMBER(AC149),AC149&gt;P_MaxWocheJugend),"Jugendlicher &gt; 40 h/Woche; ","")&amp;IF(AND(ISNUMBER(BD149),BD149&lt;P_Mindestlohn,Q149&lt;&gt;"Auszubildende/r",Q149&lt;&gt;"Praktikant/in"),"Mindestlohn unterschritten?; ","")&amp;IF(AND(Q149="Minijob (geringfügig)",ISNUMBER(BB149),BB149&gt;P_Minijob),"Minijob-Grenze überschritten; ","")&amp;IF(AND(R149="Ja",S149=""),"Befristung ohne Enddatum; ","")&amp;IF(AND(ISNUMBER(O149),ISNUMBER(N149),O149&lt;N149),"Austritt vor Eintritt; ","")&amp;IF(AND(ISNUMBER(AU149),ISNUMBER(AV149),AU149&lt;AV149),"Urlaub unter gesetzl. Minimum; ","")&amp;IF(AND(ISNUMBER(AC149),ISNUMBER(AF149),ABS(N(AC149)-N(AF149))&gt;0.01),"Wochenstd. weichen vom Modell ab; ","")&amp;IF(AND(AI149="Ja",OR(AJ149="",AK149="")),"Kontogrenzen fehlen; ","")&amp;IF(AND(AL149="Mit Gehalt abgegolten (Pauschale)",AM149=""),"Überstunden-Pauschale fehlt; ",""))="","OK",IF(OR(B149="",C149="",F149="",N149="",Q149="",AB149="",AC149="",AD149="",AU149=""),"Pflichtfelder fehlen; ","")&amp;IF(AND(ISNUMBER(AC149),AC149&gt;P_MaxWoche),"Wochenstunden &gt; Prüfgrenze; ","")&amp;IF(AND(BF149="Ja",ISNUMBER(AC149),AC149&gt;P_MaxWocheJugend),"Jugendlicher &gt; 40 h/Woche; ","")&amp;IF(AND(ISNUMBER(BD149),BD149&lt;P_Mindestlohn,Q149&lt;&gt;"Auszubildende/r",Q149&lt;&gt;"Praktikant/in"),"Mindestlohn unterschritten?; ","")&amp;IF(AND(Q149="Minijob (geringfügig)",ISNUMBER(BB149),BB149&gt;P_Minijob),"Minijob-Grenze überschritten; ","")&amp;IF(AND(R149="Ja",S149=""),"Befristung ohne Enddatum; ","")&amp;IF(AND(ISNUMBER(O149),ISNUMBER(N149),O149&lt;N149),"Austritt vor Eintritt; ","")&amp;IF(AND(ISNUMBER(AU149),ISNUMBER(AV149),AU149&lt;AV149),"Urlaub unter gesetzl. Minimum; ","")&amp;IF(AND(ISNUMBER(AC149),ISNUMBER(AF149),ABS(N(AC149)-N(AF149))&gt;0.01),"Wochenstd. weichen vom Modell ab; ","")&amp;IF(AND(AI149="Ja",OR(AJ149="",AK149="")),"Kontogrenzen fehlen; ","")&amp;IF(AND(AL149="Mit Gehalt abgegolten (Pauschale)",AM149=""),"Überstunden-Pauschale fehlt; ","")))</f>
        <v/>
      </c>
      <c r="BH149" s="38"/>
    </row>
    <row r="150" customFormat="false" ht="15" hidden="false" customHeight="false" outlineLevel="0" collapsed="false">
      <c r="A150" s="37"/>
      <c r="B150" s="38"/>
      <c r="C150" s="38"/>
      <c r="D150" s="38"/>
      <c r="E150" s="38"/>
      <c r="F150" s="39"/>
      <c r="G150" s="38"/>
      <c r="H150" s="38"/>
      <c r="I150" s="37"/>
      <c r="J150" s="38"/>
      <c r="K150" s="38"/>
      <c r="L150" s="38"/>
      <c r="M150" s="38"/>
      <c r="N150" s="39"/>
      <c r="O150" s="39"/>
      <c r="P150" s="38"/>
      <c r="Q150" s="38"/>
      <c r="R150" s="38"/>
      <c r="S150" s="39"/>
      <c r="T150" s="39"/>
      <c r="U150" s="38"/>
      <c r="V150" s="38"/>
      <c r="W150" s="37"/>
      <c r="X150" s="38"/>
      <c r="Y150" s="38"/>
      <c r="Z150" s="37"/>
      <c r="AA150" s="38"/>
      <c r="AB150" s="38"/>
      <c r="AC150" s="40"/>
      <c r="AD150" s="41"/>
      <c r="AE150" s="42" t="str">
        <f aca="false">IF(OR(A150="",NOT(ISNUMBER(AC150)),NOT(ISNUMBER(AD150))),"",IF(AD150&gt;0,AC150/AD150,""))</f>
        <v/>
      </c>
      <c r="AF150" s="42" t="str">
        <f aca="false">IF(OR(A150="",AB150=""),"",IFERROR(INDEX(Arbeitszeitmodelle!$C$5:$C$34,MATCH(AB150,Arbeitszeitmodelle!$A$5:$A$34,0)),""))</f>
        <v/>
      </c>
      <c r="AG150" s="38"/>
      <c r="AH150" s="38"/>
      <c r="AI150" s="38"/>
      <c r="AJ150" s="41"/>
      <c r="AK150" s="41"/>
      <c r="AL150" s="38"/>
      <c r="AM150" s="41"/>
      <c r="AN150" s="38"/>
      <c r="AO150" s="38"/>
      <c r="AP150" s="38"/>
      <c r="AQ150" s="38"/>
      <c r="AR150" s="41"/>
      <c r="AS150" s="40"/>
      <c r="AT150" s="39"/>
      <c r="AU150" s="41"/>
      <c r="AV150" s="43" t="str">
        <f aca="false">IF(OR(A150="",NOT(ISNUMBER(AD150))),"",P_MinUrlaubWerktage/6*AD150)</f>
        <v/>
      </c>
      <c r="AW150" s="43" t="str">
        <f aca="false">IF(A150="","",IF(M150="Ja",P_ZusatzSB*IF(ISNUMBER(AD150),AD150,5)/5,0))</f>
        <v/>
      </c>
      <c r="AX150" s="41"/>
      <c r="AY150" s="39"/>
      <c r="AZ150" s="43" t="str">
        <f aca="false">IF(OR(A150="",NOT(ISNUMBER(AU150))),"",SUM(AU150,AW150,AX150))</f>
        <v/>
      </c>
      <c r="BA150" s="38"/>
      <c r="BB150" s="44"/>
      <c r="BC150" s="44"/>
      <c r="BD150" s="45" t="str">
        <f aca="false">IF(A150="","",IF(BA150="Stundenlohn",IF(ISNUMBER(BC150),BC150,""),IF(AND(ISNUMBER(BB150),ISNUMBER(AC150)),IF(AC150&gt;0,BB150*12/(AC150*52),""),"")))</f>
        <v/>
      </c>
      <c r="BE150" s="46" t="str">
        <f aca="false">IF(OR(A150="",NOT(ISNUMBER(F150))),"",IFERROR(DATEDIF(F150,P_Stichtag,"Y"),""))</f>
        <v/>
      </c>
      <c r="BF150" s="47" t="str">
        <f aca="false">IF(OR(A150="",NOT(ISNUMBER(BE150))),"",IF(BE150&lt;18,"Ja","Nein"))</f>
        <v/>
      </c>
      <c r="BG150" s="48" t="str">
        <f aca="false">IF(A150="","",IF((IF(OR(B150="",C150="",F150="",N150="",Q150="",AB150="",AC150="",AD150="",AU150=""),"Pflichtfelder fehlen; ","")&amp;IF(AND(ISNUMBER(AC150),AC150&gt;P_MaxWoche),"Wochenstunden &gt; Prüfgrenze; ","")&amp;IF(AND(BF150="Ja",ISNUMBER(AC150),AC150&gt;P_MaxWocheJugend),"Jugendlicher &gt; 40 h/Woche; ","")&amp;IF(AND(ISNUMBER(BD150),BD150&lt;P_Mindestlohn,Q150&lt;&gt;"Auszubildende/r",Q150&lt;&gt;"Praktikant/in"),"Mindestlohn unterschritten?; ","")&amp;IF(AND(Q150="Minijob (geringfügig)",ISNUMBER(BB150),BB150&gt;P_Minijob),"Minijob-Grenze überschritten; ","")&amp;IF(AND(R150="Ja",S150=""),"Befristung ohne Enddatum; ","")&amp;IF(AND(ISNUMBER(O150),ISNUMBER(N150),O150&lt;N150),"Austritt vor Eintritt; ","")&amp;IF(AND(ISNUMBER(AU150),ISNUMBER(AV150),AU150&lt;AV150),"Urlaub unter gesetzl. Minimum; ","")&amp;IF(AND(ISNUMBER(AC150),ISNUMBER(AF150),ABS(N(AC150)-N(AF150))&gt;0.01),"Wochenstd. weichen vom Modell ab; ","")&amp;IF(AND(AI150="Ja",OR(AJ150="",AK150="")),"Kontogrenzen fehlen; ","")&amp;IF(AND(AL150="Mit Gehalt abgegolten (Pauschale)",AM150=""),"Überstunden-Pauschale fehlt; ",""))="","OK",IF(OR(B150="",C150="",F150="",N150="",Q150="",AB150="",AC150="",AD150="",AU150=""),"Pflichtfelder fehlen; ","")&amp;IF(AND(ISNUMBER(AC150),AC150&gt;P_MaxWoche),"Wochenstunden &gt; Prüfgrenze; ","")&amp;IF(AND(BF150="Ja",ISNUMBER(AC150),AC150&gt;P_MaxWocheJugend),"Jugendlicher &gt; 40 h/Woche; ","")&amp;IF(AND(ISNUMBER(BD150),BD150&lt;P_Mindestlohn,Q150&lt;&gt;"Auszubildende/r",Q150&lt;&gt;"Praktikant/in"),"Mindestlohn unterschritten?; ","")&amp;IF(AND(Q150="Minijob (geringfügig)",ISNUMBER(BB150),BB150&gt;P_Minijob),"Minijob-Grenze überschritten; ","")&amp;IF(AND(R150="Ja",S150=""),"Befristung ohne Enddatum; ","")&amp;IF(AND(ISNUMBER(O150),ISNUMBER(N150),O150&lt;N150),"Austritt vor Eintritt; ","")&amp;IF(AND(ISNUMBER(AU150),ISNUMBER(AV150),AU150&lt;AV150),"Urlaub unter gesetzl. Minimum; ","")&amp;IF(AND(ISNUMBER(AC150),ISNUMBER(AF150),ABS(N(AC150)-N(AF150))&gt;0.01),"Wochenstd. weichen vom Modell ab; ","")&amp;IF(AND(AI150="Ja",OR(AJ150="",AK150="")),"Kontogrenzen fehlen; ","")&amp;IF(AND(AL150="Mit Gehalt abgegolten (Pauschale)",AM150=""),"Überstunden-Pauschale fehlt; ","")))</f>
        <v/>
      </c>
      <c r="BH150" s="38"/>
    </row>
    <row r="151" customFormat="false" ht="15" hidden="false" customHeight="false" outlineLevel="0" collapsed="false">
      <c r="A151" s="37"/>
      <c r="B151" s="38"/>
      <c r="C151" s="38"/>
      <c r="D151" s="38"/>
      <c r="E151" s="38"/>
      <c r="F151" s="39"/>
      <c r="G151" s="38"/>
      <c r="H151" s="38"/>
      <c r="I151" s="37"/>
      <c r="J151" s="38"/>
      <c r="K151" s="38"/>
      <c r="L151" s="38"/>
      <c r="M151" s="38"/>
      <c r="N151" s="39"/>
      <c r="O151" s="39"/>
      <c r="P151" s="38"/>
      <c r="Q151" s="38"/>
      <c r="R151" s="38"/>
      <c r="S151" s="39"/>
      <c r="T151" s="39"/>
      <c r="U151" s="38"/>
      <c r="V151" s="38"/>
      <c r="W151" s="37"/>
      <c r="X151" s="38"/>
      <c r="Y151" s="38"/>
      <c r="Z151" s="37"/>
      <c r="AA151" s="38"/>
      <c r="AB151" s="38"/>
      <c r="AC151" s="40"/>
      <c r="AD151" s="41"/>
      <c r="AE151" s="42" t="str">
        <f aca="false">IF(OR(A151="",NOT(ISNUMBER(AC151)),NOT(ISNUMBER(AD151))),"",IF(AD151&gt;0,AC151/AD151,""))</f>
        <v/>
      </c>
      <c r="AF151" s="42" t="str">
        <f aca="false">IF(OR(A151="",AB151=""),"",IFERROR(INDEX(Arbeitszeitmodelle!$C$5:$C$34,MATCH(AB151,Arbeitszeitmodelle!$A$5:$A$34,0)),""))</f>
        <v/>
      </c>
      <c r="AG151" s="38"/>
      <c r="AH151" s="38"/>
      <c r="AI151" s="38"/>
      <c r="AJ151" s="41"/>
      <c r="AK151" s="41"/>
      <c r="AL151" s="38"/>
      <c r="AM151" s="41"/>
      <c r="AN151" s="38"/>
      <c r="AO151" s="38"/>
      <c r="AP151" s="38"/>
      <c r="AQ151" s="38"/>
      <c r="AR151" s="41"/>
      <c r="AS151" s="40"/>
      <c r="AT151" s="39"/>
      <c r="AU151" s="41"/>
      <c r="AV151" s="43" t="str">
        <f aca="false">IF(OR(A151="",NOT(ISNUMBER(AD151))),"",P_MinUrlaubWerktage/6*AD151)</f>
        <v/>
      </c>
      <c r="AW151" s="43" t="str">
        <f aca="false">IF(A151="","",IF(M151="Ja",P_ZusatzSB*IF(ISNUMBER(AD151),AD151,5)/5,0))</f>
        <v/>
      </c>
      <c r="AX151" s="41"/>
      <c r="AY151" s="39"/>
      <c r="AZ151" s="43" t="str">
        <f aca="false">IF(OR(A151="",NOT(ISNUMBER(AU151))),"",SUM(AU151,AW151,AX151))</f>
        <v/>
      </c>
      <c r="BA151" s="38"/>
      <c r="BB151" s="44"/>
      <c r="BC151" s="44"/>
      <c r="BD151" s="45" t="str">
        <f aca="false">IF(A151="","",IF(BA151="Stundenlohn",IF(ISNUMBER(BC151),BC151,""),IF(AND(ISNUMBER(BB151),ISNUMBER(AC151)),IF(AC151&gt;0,BB151*12/(AC151*52),""),"")))</f>
        <v/>
      </c>
      <c r="BE151" s="46" t="str">
        <f aca="false">IF(OR(A151="",NOT(ISNUMBER(F151))),"",IFERROR(DATEDIF(F151,P_Stichtag,"Y"),""))</f>
        <v/>
      </c>
      <c r="BF151" s="47" t="str">
        <f aca="false">IF(OR(A151="",NOT(ISNUMBER(BE151))),"",IF(BE151&lt;18,"Ja","Nein"))</f>
        <v/>
      </c>
      <c r="BG151" s="48" t="str">
        <f aca="false">IF(A151="","",IF((IF(OR(B151="",C151="",F151="",N151="",Q151="",AB151="",AC151="",AD151="",AU151=""),"Pflichtfelder fehlen; ","")&amp;IF(AND(ISNUMBER(AC151),AC151&gt;P_MaxWoche),"Wochenstunden &gt; Prüfgrenze; ","")&amp;IF(AND(BF151="Ja",ISNUMBER(AC151),AC151&gt;P_MaxWocheJugend),"Jugendlicher &gt; 40 h/Woche; ","")&amp;IF(AND(ISNUMBER(BD151),BD151&lt;P_Mindestlohn,Q151&lt;&gt;"Auszubildende/r",Q151&lt;&gt;"Praktikant/in"),"Mindestlohn unterschritten?; ","")&amp;IF(AND(Q151="Minijob (geringfügig)",ISNUMBER(BB151),BB151&gt;P_Minijob),"Minijob-Grenze überschritten; ","")&amp;IF(AND(R151="Ja",S151=""),"Befristung ohne Enddatum; ","")&amp;IF(AND(ISNUMBER(O151),ISNUMBER(N151),O151&lt;N151),"Austritt vor Eintritt; ","")&amp;IF(AND(ISNUMBER(AU151),ISNUMBER(AV151),AU151&lt;AV151),"Urlaub unter gesetzl. Minimum; ","")&amp;IF(AND(ISNUMBER(AC151),ISNUMBER(AF151),ABS(N(AC151)-N(AF151))&gt;0.01),"Wochenstd. weichen vom Modell ab; ","")&amp;IF(AND(AI151="Ja",OR(AJ151="",AK151="")),"Kontogrenzen fehlen; ","")&amp;IF(AND(AL151="Mit Gehalt abgegolten (Pauschale)",AM151=""),"Überstunden-Pauschale fehlt; ",""))="","OK",IF(OR(B151="",C151="",F151="",N151="",Q151="",AB151="",AC151="",AD151="",AU151=""),"Pflichtfelder fehlen; ","")&amp;IF(AND(ISNUMBER(AC151),AC151&gt;P_MaxWoche),"Wochenstunden &gt; Prüfgrenze; ","")&amp;IF(AND(BF151="Ja",ISNUMBER(AC151),AC151&gt;P_MaxWocheJugend),"Jugendlicher &gt; 40 h/Woche; ","")&amp;IF(AND(ISNUMBER(BD151),BD151&lt;P_Mindestlohn,Q151&lt;&gt;"Auszubildende/r",Q151&lt;&gt;"Praktikant/in"),"Mindestlohn unterschritten?; ","")&amp;IF(AND(Q151="Minijob (geringfügig)",ISNUMBER(BB151),BB151&gt;P_Minijob),"Minijob-Grenze überschritten; ","")&amp;IF(AND(R151="Ja",S151=""),"Befristung ohne Enddatum; ","")&amp;IF(AND(ISNUMBER(O151),ISNUMBER(N151),O151&lt;N151),"Austritt vor Eintritt; ","")&amp;IF(AND(ISNUMBER(AU151),ISNUMBER(AV151),AU151&lt;AV151),"Urlaub unter gesetzl. Minimum; ","")&amp;IF(AND(ISNUMBER(AC151),ISNUMBER(AF151),ABS(N(AC151)-N(AF151))&gt;0.01),"Wochenstd. weichen vom Modell ab; ","")&amp;IF(AND(AI151="Ja",OR(AJ151="",AK151="")),"Kontogrenzen fehlen; ","")&amp;IF(AND(AL151="Mit Gehalt abgegolten (Pauschale)",AM151=""),"Überstunden-Pauschale fehlt; ","")))</f>
        <v/>
      </c>
      <c r="BH151" s="38"/>
    </row>
    <row r="152" customFormat="false" ht="15" hidden="false" customHeight="false" outlineLevel="0" collapsed="false">
      <c r="A152" s="37"/>
      <c r="B152" s="38"/>
      <c r="C152" s="38"/>
      <c r="D152" s="38"/>
      <c r="E152" s="38"/>
      <c r="F152" s="39"/>
      <c r="G152" s="38"/>
      <c r="H152" s="38"/>
      <c r="I152" s="37"/>
      <c r="J152" s="38"/>
      <c r="K152" s="38"/>
      <c r="L152" s="38"/>
      <c r="M152" s="38"/>
      <c r="N152" s="39"/>
      <c r="O152" s="39"/>
      <c r="P152" s="38"/>
      <c r="Q152" s="38"/>
      <c r="R152" s="38"/>
      <c r="S152" s="39"/>
      <c r="T152" s="39"/>
      <c r="U152" s="38"/>
      <c r="V152" s="38"/>
      <c r="W152" s="37"/>
      <c r="X152" s="38"/>
      <c r="Y152" s="38"/>
      <c r="Z152" s="37"/>
      <c r="AA152" s="38"/>
      <c r="AB152" s="38"/>
      <c r="AC152" s="40"/>
      <c r="AD152" s="41"/>
      <c r="AE152" s="42" t="str">
        <f aca="false">IF(OR(A152="",NOT(ISNUMBER(AC152)),NOT(ISNUMBER(AD152))),"",IF(AD152&gt;0,AC152/AD152,""))</f>
        <v/>
      </c>
      <c r="AF152" s="42" t="str">
        <f aca="false">IF(OR(A152="",AB152=""),"",IFERROR(INDEX(Arbeitszeitmodelle!$C$5:$C$34,MATCH(AB152,Arbeitszeitmodelle!$A$5:$A$34,0)),""))</f>
        <v/>
      </c>
      <c r="AG152" s="38"/>
      <c r="AH152" s="38"/>
      <c r="AI152" s="38"/>
      <c r="AJ152" s="41"/>
      <c r="AK152" s="41"/>
      <c r="AL152" s="38"/>
      <c r="AM152" s="41"/>
      <c r="AN152" s="38"/>
      <c r="AO152" s="38"/>
      <c r="AP152" s="38"/>
      <c r="AQ152" s="38"/>
      <c r="AR152" s="41"/>
      <c r="AS152" s="40"/>
      <c r="AT152" s="39"/>
      <c r="AU152" s="41"/>
      <c r="AV152" s="43" t="str">
        <f aca="false">IF(OR(A152="",NOT(ISNUMBER(AD152))),"",P_MinUrlaubWerktage/6*AD152)</f>
        <v/>
      </c>
      <c r="AW152" s="43" t="str">
        <f aca="false">IF(A152="","",IF(M152="Ja",P_ZusatzSB*IF(ISNUMBER(AD152),AD152,5)/5,0))</f>
        <v/>
      </c>
      <c r="AX152" s="41"/>
      <c r="AY152" s="39"/>
      <c r="AZ152" s="43" t="str">
        <f aca="false">IF(OR(A152="",NOT(ISNUMBER(AU152))),"",SUM(AU152,AW152,AX152))</f>
        <v/>
      </c>
      <c r="BA152" s="38"/>
      <c r="BB152" s="44"/>
      <c r="BC152" s="44"/>
      <c r="BD152" s="45" t="str">
        <f aca="false">IF(A152="","",IF(BA152="Stundenlohn",IF(ISNUMBER(BC152),BC152,""),IF(AND(ISNUMBER(BB152),ISNUMBER(AC152)),IF(AC152&gt;0,BB152*12/(AC152*52),""),"")))</f>
        <v/>
      </c>
      <c r="BE152" s="46" t="str">
        <f aca="false">IF(OR(A152="",NOT(ISNUMBER(F152))),"",IFERROR(DATEDIF(F152,P_Stichtag,"Y"),""))</f>
        <v/>
      </c>
      <c r="BF152" s="47" t="str">
        <f aca="false">IF(OR(A152="",NOT(ISNUMBER(BE152))),"",IF(BE152&lt;18,"Ja","Nein"))</f>
        <v/>
      </c>
      <c r="BG152" s="48" t="str">
        <f aca="false">IF(A152="","",IF((IF(OR(B152="",C152="",F152="",N152="",Q152="",AB152="",AC152="",AD152="",AU152=""),"Pflichtfelder fehlen; ","")&amp;IF(AND(ISNUMBER(AC152),AC152&gt;P_MaxWoche),"Wochenstunden &gt; Prüfgrenze; ","")&amp;IF(AND(BF152="Ja",ISNUMBER(AC152),AC152&gt;P_MaxWocheJugend),"Jugendlicher &gt; 40 h/Woche; ","")&amp;IF(AND(ISNUMBER(BD152),BD152&lt;P_Mindestlohn,Q152&lt;&gt;"Auszubildende/r",Q152&lt;&gt;"Praktikant/in"),"Mindestlohn unterschritten?; ","")&amp;IF(AND(Q152="Minijob (geringfügig)",ISNUMBER(BB152),BB152&gt;P_Minijob),"Minijob-Grenze überschritten; ","")&amp;IF(AND(R152="Ja",S152=""),"Befristung ohne Enddatum; ","")&amp;IF(AND(ISNUMBER(O152),ISNUMBER(N152),O152&lt;N152),"Austritt vor Eintritt; ","")&amp;IF(AND(ISNUMBER(AU152),ISNUMBER(AV152),AU152&lt;AV152),"Urlaub unter gesetzl. Minimum; ","")&amp;IF(AND(ISNUMBER(AC152),ISNUMBER(AF152),ABS(N(AC152)-N(AF152))&gt;0.01),"Wochenstd. weichen vom Modell ab; ","")&amp;IF(AND(AI152="Ja",OR(AJ152="",AK152="")),"Kontogrenzen fehlen; ","")&amp;IF(AND(AL152="Mit Gehalt abgegolten (Pauschale)",AM152=""),"Überstunden-Pauschale fehlt; ",""))="","OK",IF(OR(B152="",C152="",F152="",N152="",Q152="",AB152="",AC152="",AD152="",AU152=""),"Pflichtfelder fehlen; ","")&amp;IF(AND(ISNUMBER(AC152),AC152&gt;P_MaxWoche),"Wochenstunden &gt; Prüfgrenze; ","")&amp;IF(AND(BF152="Ja",ISNUMBER(AC152),AC152&gt;P_MaxWocheJugend),"Jugendlicher &gt; 40 h/Woche; ","")&amp;IF(AND(ISNUMBER(BD152),BD152&lt;P_Mindestlohn,Q152&lt;&gt;"Auszubildende/r",Q152&lt;&gt;"Praktikant/in"),"Mindestlohn unterschritten?; ","")&amp;IF(AND(Q152="Minijob (geringfügig)",ISNUMBER(BB152),BB152&gt;P_Minijob),"Minijob-Grenze überschritten; ","")&amp;IF(AND(R152="Ja",S152=""),"Befristung ohne Enddatum; ","")&amp;IF(AND(ISNUMBER(O152),ISNUMBER(N152),O152&lt;N152),"Austritt vor Eintritt; ","")&amp;IF(AND(ISNUMBER(AU152),ISNUMBER(AV152),AU152&lt;AV152),"Urlaub unter gesetzl. Minimum; ","")&amp;IF(AND(ISNUMBER(AC152),ISNUMBER(AF152),ABS(N(AC152)-N(AF152))&gt;0.01),"Wochenstd. weichen vom Modell ab; ","")&amp;IF(AND(AI152="Ja",OR(AJ152="",AK152="")),"Kontogrenzen fehlen; ","")&amp;IF(AND(AL152="Mit Gehalt abgegolten (Pauschale)",AM152=""),"Überstunden-Pauschale fehlt; ","")))</f>
        <v/>
      </c>
      <c r="BH152" s="38"/>
    </row>
    <row r="153" customFormat="false" ht="15" hidden="false" customHeight="false" outlineLevel="0" collapsed="false">
      <c r="A153" s="37"/>
      <c r="B153" s="38"/>
      <c r="C153" s="38"/>
      <c r="D153" s="38"/>
      <c r="E153" s="38"/>
      <c r="F153" s="39"/>
      <c r="G153" s="38"/>
      <c r="H153" s="38"/>
      <c r="I153" s="37"/>
      <c r="J153" s="38"/>
      <c r="K153" s="38"/>
      <c r="L153" s="38"/>
      <c r="M153" s="38"/>
      <c r="N153" s="39"/>
      <c r="O153" s="39"/>
      <c r="P153" s="38"/>
      <c r="Q153" s="38"/>
      <c r="R153" s="38"/>
      <c r="S153" s="39"/>
      <c r="T153" s="39"/>
      <c r="U153" s="38"/>
      <c r="V153" s="38"/>
      <c r="W153" s="37"/>
      <c r="X153" s="38"/>
      <c r="Y153" s="38"/>
      <c r="Z153" s="37"/>
      <c r="AA153" s="38"/>
      <c r="AB153" s="38"/>
      <c r="AC153" s="40"/>
      <c r="AD153" s="41"/>
      <c r="AE153" s="42" t="str">
        <f aca="false">IF(OR(A153="",NOT(ISNUMBER(AC153)),NOT(ISNUMBER(AD153))),"",IF(AD153&gt;0,AC153/AD153,""))</f>
        <v/>
      </c>
      <c r="AF153" s="42" t="str">
        <f aca="false">IF(OR(A153="",AB153=""),"",IFERROR(INDEX(Arbeitszeitmodelle!$C$5:$C$34,MATCH(AB153,Arbeitszeitmodelle!$A$5:$A$34,0)),""))</f>
        <v/>
      </c>
      <c r="AG153" s="38"/>
      <c r="AH153" s="38"/>
      <c r="AI153" s="38"/>
      <c r="AJ153" s="41"/>
      <c r="AK153" s="41"/>
      <c r="AL153" s="38"/>
      <c r="AM153" s="41"/>
      <c r="AN153" s="38"/>
      <c r="AO153" s="38"/>
      <c r="AP153" s="38"/>
      <c r="AQ153" s="38"/>
      <c r="AR153" s="41"/>
      <c r="AS153" s="40"/>
      <c r="AT153" s="39"/>
      <c r="AU153" s="41"/>
      <c r="AV153" s="43" t="str">
        <f aca="false">IF(OR(A153="",NOT(ISNUMBER(AD153))),"",P_MinUrlaubWerktage/6*AD153)</f>
        <v/>
      </c>
      <c r="AW153" s="43" t="str">
        <f aca="false">IF(A153="","",IF(M153="Ja",P_ZusatzSB*IF(ISNUMBER(AD153),AD153,5)/5,0))</f>
        <v/>
      </c>
      <c r="AX153" s="41"/>
      <c r="AY153" s="39"/>
      <c r="AZ153" s="43" t="str">
        <f aca="false">IF(OR(A153="",NOT(ISNUMBER(AU153))),"",SUM(AU153,AW153,AX153))</f>
        <v/>
      </c>
      <c r="BA153" s="38"/>
      <c r="BB153" s="44"/>
      <c r="BC153" s="44"/>
      <c r="BD153" s="45" t="str">
        <f aca="false">IF(A153="","",IF(BA153="Stundenlohn",IF(ISNUMBER(BC153),BC153,""),IF(AND(ISNUMBER(BB153),ISNUMBER(AC153)),IF(AC153&gt;0,BB153*12/(AC153*52),""),"")))</f>
        <v/>
      </c>
      <c r="BE153" s="46" t="str">
        <f aca="false">IF(OR(A153="",NOT(ISNUMBER(F153))),"",IFERROR(DATEDIF(F153,P_Stichtag,"Y"),""))</f>
        <v/>
      </c>
      <c r="BF153" s="47" t="str">
        <f aca="false">IF(OR(A153="",NOT(ISNUMBER(BE153))),"",IF(BE153&lt;18,"Ja","Nein"))</f>
        <v/>
      </c>
      <c r="BG153" s="48" t="str">
        <f aca="false">IF(A153="","",IF((IF(OR(B153="",C153="",F153="",N153="",Q153="",AB153="",AC153="",AD153="",AU153=""),"Pflichtfelder fehlen; ","")&amp;IF(AND(ISNUMBER(AC153),AC153&gt;P_MaxWoche),"Wochenstunden &gt; Prüfgrenze; ","")&amp;IF(AND(BF153="Ja",ISNUMBER(AC153),AC153&gt;P_MaxWocheJugend),"Jugendlicher &gt; 40 h/Woche; ","")&amp;IF(AND(ISNUMBER(BD153),BD153&lt;P_Mindestlohn,Q153&lt;&gt;"Auszubildende/r",Q153&lt;&gt;"Praktikant/in"),"Mindestlohn unterschritten?; ","")&amp;IF(AND(Q153="Minijob (geringfügig)",ISNUMBER(BB153),BB153&gt;P_Minijob),"Minijob-Grenze überschritten; ","")&amp;IF(AND(R153="Ja",S153=""),"Befristung ohne Enddatum; ","")&amp;IF(AND(ISNUMBER(O153),ISNUMBER(N153),O153&lt;N153),"Austritt vor Eintritt; ","")&amp;IF(AND(ISNUMBER(AU153),ISNUMBER(AV153),AU153&lt;AV153),"Urlaub unter gesetzl. Minimum; ","")&amp;IF(AND(ISNUMBER(AC153),ISNUMBER(AF153),ABS(N(AC153)-N(AF153))&gt;0.01),"Wochenstd. weichen vom Modell ab; ","")&amp;IF(AND(AI153="Ja",OR(AJ153="",AK153="")),"Kontogrenzen fehlen; ","")&amp;IF(AND(AL153="Mit Gehalt abgegolten (Pauschale)",AM153=""),"Überstunden-Pauschale fehlt; ",""))="","OK",IF(OR(B153="",C153="",F153="",N153="",Q153="",AB153="",AC153="",AD153="",AU153=""),"Pflichtfelder fehlen; ","")&amp;IF(AND(ISNUMBER(AC153),AC153&gt;P_MaxWoche),"Wochenstunden &gt; Prüfgrenze; ","")&amp;IF(AND(BF153="Ja",ISNUMBER(AC153),AC153&gt;P_MaxWocheJugend),"Jugendlicher &gt; 40 h/Woche; ","")&amp;IF(AND(ISNUMBER(BD153),BD153&lt;P_Mindestlohn,Q153&lt;&gt;"Auszubildende/r",Q153&lt;&gt;"Praktikant/in"),"Mindestlohn unterschritten?; ","")&amp;IF(AND(Q153="Minijob (geringfügig)",ISNUMBER(BB153),BB153&gt;P_Minijob),"Minijob-Grenze überschritten; ","")&amp;IF(AND(R153="Ja",S153=""),"Befristung ohne Enddatum; ","")&amp;IF(AND(ISNUMBER(O153),ISNUMBER(N153),O153&lt;N153),"Austritt vor Eintritt; ","")&amp;IF(AND(ISNUMBER(AU153),ISNUMBER(AV153),AU153&lt;AV153),"Urlaub unter gesetzl. Minimum; ","")&amp;IF(AND(ISNUMBER(AC153),ISNUMBER(AF153),ABS(N(AC153)-N(AF153))&gt;0.01),"Wochenstd. weichen vom Modell ab; ","")&amp;IF(AND(AI153="Ja",OR(AJ153="",AK153="")),"Kontogrenzen fehlen; ","")&amp;IF(AND(AL153="Mit Gehalt abgegolten (Pauschale)",AM153=""),"Überstunden-Pauschale fehlt; ","")))</f>
        <v/>
      </c>
      <c r="BH153" s="38"/>
    </row>
    <row r="154" customFormat="false" ht="15" hidden="false" customHeight="false" outlineLevel="0" collapsed="false">
      <c r="A154" s="37"/>
      <c r="B154" s="38"/>
      <c r="C154" s="38"/>
      <c r="D154" s="38"/>
      <c r="E154" s="38"/>
      <c r="F154" s="39"/>
      <c r="G154" s="38"/>
      <c r="H154" s="38"/>
      <c r="I154" s="37"/>
      <c r="J154" s="38"/>
      <c r="K154" s="38"/>
      <c r="L154" s="38"/>
      <c r="M154" s="38"/>
      <c r="N154" s="39"/>
      <c r="O154" s="39"/>
      <c r="P154" s="38"/>
      <c r="Q154" s="38"/>
      <c r="R154" s="38"/>
      <c r="S154" s="39"/>
      <c r="T154" s="39"/>
      <c r="U154" s="38"/>
      <c r="V154" s="38"/>
      <c r="W154" s="37"/>
      <c r="X154" s="38"/>
      <c r="Y154" s="38"/>
      <c r="Z154" s="37"/>
      <c r="AA154" s="38"/>
      <c r="AB154" s="38"/>
      <c r="AC154" s="40"/>
      <c r="AD154" s="41"/>
      <c r="AE154" s="42" t="str">
        <f aca="false">IF(OR(A154="",NOT(ISNUMBER(AC154)),NOT(ISNUMBER(AD154))),"",IF(AD154&gt;0,AC154/AD154,""))</f>
        <v/>
      </c>
      <c r="AF154" s="42" t="str">
        <f aca="false">IF(OR(A154="",AB154=""),"",IFERROR(INDEX(Arbeitszeitmodelle!$C$5:$C$34,MATCH(AB154,Arbeitszeitmodelle!$A$5:$A$34,0)),""))</f>
        <v/>
      </c>
      <c r="AG154" s="38"/>
      <c r="AH154" s="38"/>
      <c r="AI154" s="38"/>
      <c r="AJ154" s="41"/>
      <c r="AK154" s="41"/>
      <c r="AL154" s="38"/>
      <c r="AM154" s="41"/>
      <c r="AN154" s="38"/>
      <c r="AO154" s="38"/>
      <c r="AP154" s="38"/>
      <c r="AQ154" s="38"/>
      <c r="AR154" s="41"/>
      <c r="AS154" s="40"/>
      <c r="AT154" s="39"/>
      <c r="AU154" s="41"/>
      <c r="AV154" s="43" t="str">
        <f aca="false">IF(OR(A154="",NOT(ISNUMBER(AD154))),"",P_MinUrlaubWerktage/6*AD154)</f>
        <v/>
      </c>
      <c r="AW154" s="43" t="str">
        <f aca="false">IF(A154="","",IF(M154="Ja",P_ZusatzSB*IF(ISNUMBER(AD154),AD154,5)/5,0))</f>
        <v/>
      </c>
      <c r="AX154" s="41"/>
      <c r="AY154" s="39"/>
      <c r="AZ154" s="43" t="str">
        <f aca="false">IF(OR(A154="",NOT(ISNUMBER(AU154))),"",SUM(AU154,AW154,AX154))</f>
        <v/>
      </c>
      <c r="BA154" s="38"/>
      <c r="BB154" s="44"/>
      <c r="BC154" s="44"/>
      <c r="BD154" s="45" t="str">
        <f aca="false">IF(A154="","",IF(BA154="Stundenlohn",IF(ISNUMBER(BC154),BC154,""),IF(AND(ISNUMBER(BB154),ISNUMBER(AC154)),IF(AC154&gt;0,BB154*12/(AC154*52),""),"")))</f>
        <v/>
      </c>
      <c r="BE154" s="46" t="str">
        <f aca="false">IF(OR(A154="",NOT(ISNUMBER(F154))),"",IFERROR(DATEDIF(F154,P_Stichtag,"Y"),""))</f>
        <v/>
      </c>
      <c r="BF154" s="47" t="str">
        <f aca="false">IF(OR(A154="",NOT(ISNUMBER(BE154))),"",IF(BE154&lt;18,"Ja","Nein"))</f>
        <v/>
      </c>
      <c r="BG154" s="48" t="str">
        <f aca="false">IF(A154="","",IF((IF(OR(B154="",C154="",F154="",N154="",Q154="",AB154="",AC154="",AD154="",AU154=""),"Pflichtfelder fehlen; ","")&amp;IF(AND(ISNUMBER(AC154),AC154&gt;P_MaxWoche),"Wochenstunden &gt; Prüfgrenze; ","")&amp;IF(AND(BF154="Ja",ISNUMBER(AC154),AC154&gt;P_MaxWocheJugend),"Jugendlicher &gt; 40 h/Woche; ","")&amp;IF(AND(ISNUMBER(BD154),BD154&lt;P_Mindestlohn,Q154&lt;&gt;"Auszubildende/r",Q154&lt;&gt;"Praktikant/in"),"Mindestlohn unterschritten?; ","")&amp;IF(AND(Q154="Minijob (geringfügig)",ISNUMBER(BB154),BB154&gt;P_Minijob),"Minijob-Grenze überschritten; ","")&amp;IF(AND(R154="Ja",S154=""),"Befristung ohne Enddatum; ","")&amp;IF(AND(ISNUMBER(O154),ISNUMBER(N154),O154&lt;N154),"Austritt vor Eintritt; ","")&amp;IF(AND(ISNUMBER(AU154),ISNUMBER(AV154),AU154&lt;AV154),"Urlaub unter gesetzl. Minimum; ","")&amp;IF(AND(ISNUMBER(AC154),ISNUMBER(AF154),ABS(N(AC154)-N(AF154))&gt;0.01),"Wochenstd. weichen vom Modell ab; ","")&amp;IF(AND(AI154="Ja",OR(AJ154="",AK154="")),"Kontogrenzen fehlen; ","")&amp;IF(AND(AL154="Mit Gehalt abgegolten (Pauschale)",AM154=""),"Überstunden-Pauschale fehlt; ",""))="","OK",IF(OR(B154="",C154="",F154="",N154="",Q154="",AB154="",AC154="",AD154="",AU154=""),"Pflichtfelder fehlen; ","")&amp;IF(AND(ISNUMBER(AC154),AC154&gt;P_MaxWoche),"Wochenstunden &gt; Prüfgrenze; ","")&amp;IF(AND(BF154="Ja",ISNUMBER(AC154),AC154&gt;P_MaxWocheJugend),"Jugendlicher &gt; 40 h/Woche; ","")&amp;IF(AND(ISNUMBER(BD154),BD154&lt;P_Mindestlohn,Q154&lt;&gt;"Auszubildende/r",Q154&lt;&gt;"Praktikant/in"),"Mindestlohn unterschritten?; ","")&amp;IF(AND(Q154="Minijob (geringfügig)",ISNUMBER(BB154),BB154&gt;P_Minijob),"Minijob-Grenze überschritten; ","")&amp;IF(AND(R154="Ja",S154=""),"Befristung ohne Enddatum; ","")&amp;IF(AND(ISNUMBER(O154),ISNUMBER(N154),O154&lt;N154),"Austritt vor Eintritt; ","")&amp;IF(AND(ISNUMBER(AU154),ISNUMBER(AV154),AU154&lt;AV154),"Urlaub unter gesetzl. Minimum; ","")&amp;IF(AND(ISNUMBER(AC154),ISNUMBER(AF154),ABS(N(AC154)-N(AF154))&gt;0.01),"Wochenstd. weichen vom Modell ab; ","")&amp;IF(AND(AI154="Ja",OR(AJ154="",AK154="")),"Kontogrenzen fehlen; ","")&amp;IF(AND(AL154="Mit Gehalt abgegolten (Pauschale)",AM154=""),"Überstunden-Pauschale fehlt; ","")))</f>
        <v/>
      </c>
      <c r="BH154" s="38"/>
    </row>
    <row r="155" customFormat="false" ht="15" hidden="false" customHeight="false" outlineLevel="0" collapsed="false">
      <c r="A155" s="37"/>
      <c r="B155" s="38"/>
      <c r="C155" s="38"/>
      <c r="D155" s="38"/>
      <c r="E155" s="38"/>
      <c r="F155" s="39"/>
      <c r="G155" s="38"/>
      <c r="H155" s="38"/>
      <c r="I155" s="37"/>
      <c r="J155" s="38"/>
      <c r="K155" s="38"/>
      <c r="L155" s="38"/>
      <c r="M155" s="38"/>
      <c r="N155" s="39"/>
      <c r="O155" s="39"/>
      <c r="P155" s="38"/>
      <c r="Q155" s="38"/>
      <c r="R155" s="38"/>
      <c r="S155" s="39"/>
      <c r="T155" s="39"/>
      <c r="U155" s="38"/>
      <c r="V155" s="38"/>
      <c r="W155" s="37"/>
      <c r="X155" s="38"/>
      <c r="Y155" s="38"/>
      <c r="Z155" s="37"/>
      <c r="AA155" s="38"/>
      <c r="AB155" s="38"/>
      <c r="AC155" s="40"/>
      <c r="AD155" s="41"/>
      <c r="AE155" s="42" t="str">
        <f aca="false">IF(OR(A155="",NOT(ISNUMBER(AC155)),NOT(ISNUMBER(AD155))),"",IF(AD155&gt;0,AC155/AD155,""))</f>
        <v/>
      </c>
      <c r="AF155" s="42" t="str">
        <f aca="false">IF(OR(A155="",AB155=""),"",IFERROR(INDEX(Arbeitszeitmodelle!$C$5:$C$34,MATCH(AB155,Arbeitszeitmodelle!$A$5:$A$34,0)),""))</f>
        <v/>
      </c>
      <c r="AG155" s="38"/>
      <c r="AH155" s="38"/>
      <c r="AI155" s="38"/>
      <c r="AJ155" s="41"/>
      <c r="AK155" s="41"/>
      <c r="AL155" s="38"/>
      <c r="AM155" s="41"/>
      <c r="AN155" s="38"/>
      <c r="AO155" s="38"/>
      <c r="AP155" s="38"/>
      <c r="AQ155" s="38"/>
      <c r="AR155" s="41"/>
      <c r="AS155" s="40"/>
      <c r="AT155" s="39"/>
      <c r="AU155" s="41"/>
      <c r="AV155" s="43" t="str">
        <f aca="false">IF(OR(A155="",NOT(ISNUMBER(AD155))),"",P_MinUrlaubWerktage/6*AD155)</f>
        <v/>
      </c>
      <c r="AW155" s="43" t="str">
        <f aca="false">IF(A155="","",IF(M155="Ja",P_ZusatzSB*IF(ISNUMBER(AD155),AD155,5)/5,0))</f>
        <v/>
      </c>
      <c r="AX155" s="41"/>
      <c r="AY155" s="39"/>
      <c r="AZ155" s="43" t="str">
        <f aca="false">IF(OR(A155="",NOT(ISNUMBER(AU155))),"",SUM(AU155,AW155,AX155))</f>
        <v/>
      </c>
      <c r="BA155" s="38"/>
      <c r="BB155" s="44"/>
      <c r="BC155" s="44"/>
      <c r="BD155" s="45" t="str">
        <f aca="false">IF(A155="","",IF(BA155="Stundenlohn",IF(ISNUMBER(BC155),BC155,""),IF(AND(ISNUMBER(BB155),ISNUMBER(AC155)),IF(AC155&gt;0,BB155*12/(AC155*52),""),"")))</f>
        <v/>
      </c>
      <c r="BE155" s="46" t="str">
        <f aca="false">IF(OR(A155="",NOT(ISNUMBER(F155))),"",IFERROR(DATEDIF(F155,P_Stichtag,"Y"),""))</f>
        <v/>
      </c>
      <c r="BF155" s="47" t="str">
        <f aca="false">IF(OR(A155="",NOT(ISNUMBER(BE155))),"",IF(BE155&lt;18,"Ja","Nein"))</f>
        <v/>
      </c>
      <c r="BG155" s="48" t="str">
        <f aca="false">IF(A155="","",IF((IF(OR(B155="",C155="",F155="",N155="",Q155="",AB155="",AC155="",AD155="",AU155=""),"Pflichtfelder fehlen; ","")&amp;IF(AND(ISNUMBER(AC155),AC155&gt;P_MaxWoche),"Wochenstunden &gt; Prüfgrenze; ","")&amp;IF(AND(BF155="Ja",ISNUMBER(AC155),AC155&gt;P_MaxWocheJugend),"Jugendlicher &gt; 40 h/Woche; ","")&amp;IF(AND(ISNUMBER(BD155),BD155&lt;P_Mindestlohn,Q155&lt;&gt;"Auszubildende/r",Q155&lt;&gt;"Praktikant/in"),"Mindestlohn unterschritten?; ","")&amp;IF(AND(Q155="Minijob (geringfügig)",ISNUMBER(BB155),BB155&gt;P_Minijob),"Minijob-Grenze überschritten; ","")&amp;IF(AND(R155="Ja",S155=""),"Befristung ohne Enddatum; ","")&amp;IF(AND(ISNUMBER(O155),ISNUMBER(N155),O155&lt;N155),"Austritt vor Eintritt; ","")&amp;IF(AND(ISNUMBER(AU155),ISNUMBER(AV155),AU155&lt;AV155),"Urlaub unter gesetzl. Minimum; ","")&amp;IF(AND(ISNUMBER(AC155),ISNUMBER(AF155),ABS(N(AC155)-N(AF155))&gt;0.01),"Wochenstd. weichen vom Modell ab; ","")&amp;IF(AND(AI155="Ja",OR(AJ155="",AK155="")),"Kontogrenzen fehlen; ","")&amp;IF(AND(AL155="Mit Gehalt abgegolten (Pauschale)",AM155=""),"Überstunden-Pauschale fehlt; ",""))="","OK",IF(OR(B155="",C155="",F155="",N155="",Q155="",AB155="",AC155="",AD155="",AU155=""),"Pflichtfelder fehlen; ","")&amp;IF(AND(ISNUMBER(AC155),AC155&gt;P_MaxWoche),"Wochenstunden &gt; Prüfgrenze; ","")&amp;IF(AND(BF155="Ja",ISNUMBER(AC155),AC155&gt;P_MaxWocheJugend),"Jugendlicher &gt; 40 h/Woche; ","")&amp;IF(AND(ISNUMBER(BD155),BD155&lt;P_Mindestlohn,Q155&lt;&gt;"Auszubildende/r",Q155&lt;&gt;"Praktikant/in"),"Mindestlohn unterschritten?; ","")&amp;IF(AND(Q155="Minijob (geringfügig)",ISNUMBER(BB155),BB155&gt;P_Minijob),"Minijob-Grenze überschritten; ","")&amp;IF(AND(R155="Ja",S155=""),"Befristung ohne Enddatum; ","")&amp;IF(AND(ISNUMBER(O155),ISNUMBER(N155),O155&lt;N155),"Austritt vor Eintritt; ","")&amp;IF(AND(ISNUMBER(AU155),ISNUMBER(AV155),AU155&lt;AV155),"Urlaub unter gesetzl. Minimum; ","")&amp;IF(AND(ISNUMBER(AC155),ISNUMBER(AF155),ABS(N(AC155)-N(AF155))&gt;0.01),"Wochenstd. weichen vom Modell ab; ","")&amp;IF(AND(AI155="Ja",OR(AJ155="",AK155="")),"Kontogrenzen fehlen; ","")&amp;IF(AND(AL155="Mit Gehalt abgegolten (Pauschale)",AM155=""),"Überstunden-Pauschale fehlt; ","")))</f>
        <v/>
      </c>
      <c r="BH155" s="38"/>
    </row>
    <row r="156" customFormat="false" ht="15" hidden="false" customHeight="false" outlineLevel="0" collapsed="false">
      <c r="A156" s="37"/>
      <c r="B156" s="38"/>
      <c r="C156" s="38"/>
      <c r="D156" s="38"/>
      <c r="E156" s="38"/>
      <c r="F156" s="39"/>
      <c r="G156" s="38"/>
      <c r="H156" s="38"/>
      <c r="I156" s="37"/>
      <c r="J156" s="38"/>
      <c r="K156" s="38"/>
      <c r="L156" s="38"/>
      <c r="M156" s="38"/>
      <c r="N156" s="39"/>
      <c r="O156" s="39"/>
      <c r="P156" s="38"/>
      <c r="Q156" s="38"/>
      <c r="R156" s="38"/>
      <c r="S156" s="39"/>
      <c r="T156" s="39"/>
      <c r="U156" s="38"/>
      <c r="V156" s="38"/>
      <c r="W156" s="37"/>
      <c r="X156" s="38"/>
      <c r="Y156" s="38"/>
      <c r="Z156" s="37"/>
      <c r="AA156" s="38"/>
      <c r="AB156" s="38"/>
      <c r="AC156" s="40"/>
      <c r="AD156" s="41"/>
      <c r="AE156" s="42" t="str">
        <f aca="false">IF(OR(A156="",NOT(ISNUMBER(AC156)),NOT(ISNUMBER(AD156))),"",IF(AD156&gt;0,AC156/AD156,""))</f>
        <v/>
      </c>
      <c r="AF156" s="42" t="str">
        <f aca="false">IF(OR(A156="",AB156=""),"",IFERROR(INDEX(Arbeitszeitmodelle!$C$5:$C$34,MATCH(AB156,Arbeitszeitmodelle!$A$5:$A$34,0)),""))</f>
        <v/>
      </c>
      <c r="AG156" s="38"/>
      <c r="AH156" s="38"/>
      <c r="AI156" s="38"/>
      <c r="AJ156" s="41"/>
      <c r="AK156" s="41"/>
      <c r="AL156" s="38"/>
      <c r="AM156" s="41"/>
      <c r="AN156" s="38"/>
      <c r="AO156" s="38"/>
      <c r="AP156" s="38"/>
      <c r="AQ156" s="38"/>
      <c r="AR156" s="41"/>
      <c r="AS156" s="40"/>
      <c r="AT156" s="39"/>
      <c r="AU156" s="41"/>
      <c r="AV156" s="43" t="str">
        <f aca="false">IF(OR(A156="",NOT(ISNUMBER(AD156))),"",P_MinUrlaubWerktage/6*AD156)</f>
        <v/>
      </c>
      <c r="AW156" s="43" t="str">
        <f aca="false">IF(A156="","",IF(M156="Ja",P_ZusatzSB*IF(ISNUMBER(AD156),AD156,5)/5,0))</f>
        <v/>
      </c>
      <c r="AX156" s="41"/>
      <c r="AY156" s="39"/>
      <c r="AZ156" s="43" t="str">
        <f aca="false">IF(OR(A156="",NOT(ISNUMBER(AU156))),"",SUM(AU156,AW156,AX156))</f>
        <v/>
      </c>
      <c r="BA156" s="38"/>
      <c r="BB156" s="44"/>
      <c r="BC156" s="44"/>
      <c r="BD156" s="45" t="str">
        <f aca="false">IF(A156="","",IF(BA156="Stundenlohn",IF(ISNUMBER(BC156),BC156,""),IF(AND(ISNUMBER(BB156),ISNUMBER(AC156)),IF(AC156&gt;0,BB156*12/(AC156*52),""),"")))</f>
        <v/>
      </c>
      <c r="BE156" s="46" t="str">
        <f aca="false">IF(OR(A156="",NOT(ISNUMBER(F156))),"",IFERROR(DATEDIF(F156,P_Stichtag,"Y"),""))</f>
        <v/>
      </c>
      <c r="BF156" s="47" t="str">
        <f aca="false">IF(OR(A156="",NOT(ISNUMBER(BE156))),"",IF(BE156&lt;18,"Ja","Nein"))</f>
        <v/>
      </c>
      <c r="BG156" s="48" t="str">
        <f aca="false">IF(A156="","",IF((IF(OR(B156="",C156="",F156="",N156="",Q156="",AB156="",AC156="",AD156="",AU156=""),"Pflichtfelder fehlen; ","")&amp;IF(AND(ISNUMBER(AC156),AC156&gt;P_MaxWoche),"Wochenstunden &gt; Prüfgrenze; ","")&amp;IF(AND(BF156="Ja",ISNUMBER(AC156),AC156&gt;P_MaxWocheJugend),"Jugendlicher &gt; 40 h/Woche; ","")&amp;IF(AND(ISNUMBER(BD156),BD156&lt;P_Mindestlohn,Q156&lt;&gt;"Auszubildende/r",Q156&lt;&gt;"Praktikant/in"),"Mindestlohn unterschritten?; ","")&amp;IF(AND(Q156="Minijob (geringfügig)",ISNUMBER(BB156),BB156&gt;P_Minijob),"Minijob-Grenze überschritten; ","")&amp;IF(AND(R156="Ja",S156=""),"Befristung ohne Enddatum; ","")&amp;IF(AND(ISNUMBER(O156),ISNUMBER(N156),O156&lt;N156),"Austritt vor Eintritt; ","")&amp;IF(AND(ISNUMBER(AU156),ISNUMBER(AV156),AU156&lt;AV156),"Urlaub unter gesetzl. Minimum; ","")&amp;IF(AND(ISNUMBER(AC156),ISNUMBER(AF156),ABS(N(AC156)-N(AF156))&gt;0.01),"Wochenstd. weichen vom Modell ab; ","")&amp;IF(AND(AI156="Ja",OR(AJ156="",AK156="")),"Kontogrenzen fehlen; ","")&amp;IF(AND(AL156="Mit Gehalt abgegolten (Pauschale)",AM156=""),"Überstunden-Pauschale fehlt; ",""))="","OK",IF(OR(B156="",C156="",F156="",N156="",Q156="",AB156="",AC156="",AD156="",AU156=""),"Pflichtfelder fehlen; ","")&amp;IF(AND(ISNUMBER(AC156),AC156&gt;P_MaxWoche),"Wochenstunden &gt; Prüfgrenze; ","")&amp;IF(AND(BF156="Ja",ISNUMBER(AC156),AC156&gt;P_MaxWocheJugend),"Jugendlicher &gt; 40 h/Woche; ","")&amp;IF(AND(ISNUMBER(BD156),BD156&lt;P_Mindestlohn,Q156&lt;&gt;"Auszubildende/r",Q156&lt;&gt;"Praktikant/in"),"Mindestlohn unterschritten?; ","")&amp;IF(AND(Q156="Minijob (geringfügig)",ISNUMBER(BB156),BB156&gt;P_Minijob),"Minijob-Grenze überschritten; ","")&amp;IF(AND(R156="Ja",S156=""),"Befristung ohne Enddatum; ","")&amp;IF(AND(ISNUMBER(O156),ISNUMBER(N156),O156&lt;N156),"Austritt vor Eintritt; ","")&amp;IF(AND(ISNUMBER(AU156),ISNUMBER(AV156),AU156&lt;AV156),"Urlaub unter gesetzl. Minimum; ","")&amp;IF(AND(ISNUMBER(AC156),ISNUMBER(AF156),ABS(N(AC156)-N(AF156))&gt;0.01),"Wochenstd. weichen vom Modell ab; ","")&amp;IF(AND(AI156="Ja",OR(AJ156="",AK156="")),"Kontogrenzen fehlen; ","")&amp;IF(AND(AL156="Mit Gehalt abgegolten (Pauschale)",AM156=""),"Überstunden-Pauschale fehlt; ","")))</f>
        <v/>
      </c>
      <c r="BH156" s="38"/>
    </row>
    <row r="157" customFormat="false" ht="15" hidden="false" customHeight="false" outlineLevel="0" collapsed="false">
      <c r="A157" s="37"/>
      <c r="B157" s="38"/>
      <c r="C157" s="38"/>
      <c r="D157" s="38"/>
      <c r="E157" s="38"/>
      <c r="F157" s="39"/>
      <c r="G157" s="38"/>
      <c r="H157" s="38"/>
      <c r="I157" s="37"/>
      <c r="J157" s="38"/>
      <c r="K157" s="38"/>
      <c r="L157" s="38"/>
      <c r="M157" s="38"/>
      <c r="N157" s="39"/>
      <c r="O157" s="39"/>
      <c r="P157" s="38"/>
      <c r="Q157" s="38"/>
      <c r="R157" s="38"/>
      <c r="S157" s="39"/>
      <c r="T157" s="39"/>
      <c r="U157" s="38"/>
      <c r="V157" s="38"/>
      <c r="W157" s="37"/>
      <c r="X157" s="38"/>
      <c r="Y157" s="38"/>
      <c r="Z157" s="37"/>
      <c r="AA157" s="38"/>
      <c r="AB157" s="38"/>
      <c r="AC157" s="40"/>
      <c r="AD157" s="41"/>
      <c r="AE157" s="42" t="str">
        <f aca="false">IF(OR(A157="",NOT(ISNUMBER(AC157)),NOT(ISNUMBER(AD157))),"",IF(AD157&gt;0,AC157/AD157,""))</f>
        <v/>
      </c>
      <c r="AF157" s="42" t="str">
        <f aca="false">IF(OR(A157="",AB157=""),"",IFERROR(INDEX(Arbeitszeitmodelle!$C$5:$C$34,MATCH(AB157,Arbeitszeitmodelle!$A$5:$A$34,0)),""))</f>
        <v/>
      </c>
      <c r="AG157" s="38"/>
      <c r="AH157" s="38"/>
      <c r="AI157" s="38"/>
      <c r="AJ157" s="41"/>
      <c r="AK157" s="41"/>
      <c r="AL157" s="38"/>
      <c r="AM157" s="41"/>
      <c r="AN157" s="38"/>
      <c r="AO157" s="38"/>
      <c r="AP157" s="38"/>
      <c r="AQ157" s="38"/>
      <c r="AR157" s="41"/>
      <c r="AS157" s="40"/>
      <c r="AT157" s="39"/>
      <c r="AU157" s="41"/>
      <c r="AV157" s="43" t="str">
        <f aca="false">IF(OR(A157="",NOT(ISNUMBER(AD157))),"",P_MinUrlaubWerktage/6*AD157)</f>
        <v/>
      </c>
      <c r="AW157" s="43" t="str">
        <f aca="false">IF(A157="","",IF(M157="Ja",P_ZusatzSB*IF(ISNUMBER(AD157),AD157,5)/5,0))</f>
        <v/>
      </c>
      <c r="AX157" s="41"/>
      <c r="AY157" s="39"/>
      <c r="AZ157" s="43" t="str">
        <f aca="false">IF(OR(A157="",NOT(ISNUMBER(AU157))),"",SUM(AU157,AW157,AX157))</f>
        <v/>
      </c>
      <c r="BA157" s="38"/>
      <c r="BB157" s="44"/>
      <c r="BC157" s="44"/>
      <c r="BD157" s="45" t="str">
        <f aca="false">IF(A157="","",IF(BA157="Stundenlohn",IF(ISNUMBER(BC157),BC157,""),IF(AND(ISNUMBER(BB157),ISNUMBER(AC157)),IF(AC157&gt;0,BB157*12/(AC157*52),""),"")))</f>
        <v/>
      </c>
      <c r="BE157" s="46" t="str">
        <f aca="false">IF(OR(A157="",NOT(ISNUMBER(F157))),"",IFERROR(DATEDIF(F157,P_Stichtag,"Y"),""))</f>
        <v/>
      </c>
      <c r="BF157" s="47" t="str">
        <f aca="false">IF(OR(A157="",NOT(ISNUMBER(BE157))),"",IF(BE157&lt;18,"Ja","Nein"))</f>
        <v/>
      </c>
      <c r="BG157" s="48" t="str">
        <f aca="false">IF(A157="","",IF((IF(OR(B157="",C157="",F157="",N157="",Q157="",AB157="",AC157="",AD157="",AU157=""),"Pflichtfelder fehlen; ","")&amp;IF(AND(ISNUMBER(AC157),AC157&gt;P_MaxWoche),"Wochenstunden &gt; Prüfgrenze; ","")&amp;IF(AND(BF157="Ja",ISNUMBER(AC157),AC157&gt;P_MaxWocheJugend),"Jugendlicher &gt; 40 h/Woche; ","")&amp;IF(AND(ISNUMBER(BD157),BD157&lt;P_Mindestlohn,Q157&lt;&gt;"Auszubildende/r",Q157&lt;&gt;"Praktikant/in"),"Mindestlohn unterschritten?; ","")&amp;IF(AND(Q157="Minijob (geringfügig)",ISNUMBER(BB157),BB157&gt;P_Minijob),"Minijob-Grenze überschritten; ","")&amp;IF(AND(R157="Ja",S157=""),"Befristung ohne Enddatum; ","")&amp;IF(AND(ISNUMBER(O157),ISNUMBER(N157),O157&lt;N157),"Austritt vor Eintritt; ","")&amp;IF(AND(ISNUMBER(AU157),ISNUMBER(AV157),AU157&lt;AV157),"Urlaub unter gesetzl. Minimum; ","")&amp;IF(AND(ISNUMBER(AC157),ISNUMBER(AF157),ABS(N(AC157)-N(AF157))&gt;0.01),"Wochenstd. weichen vom Modell ab; ","")&amp;IF(AND(AI157="Ja",OR(AJ157="",AK157="")),"Kontogrenzen fehlen; ","")&amp;IF(AND(AL157="Mit Gehalt abgegolten (Pauschale)",AM157=""),"Überstunden-Pauschale fehlt; ",""))="","OK",IF(OR(B157="",C157="",F157="",N157="",Q157="",AB157="",AC157="",AD157="",AU157=""),"Pflichtfelder fehlen; ","")&amp;IF(AND(ISNUMBER(AC157),AC157&gt;P_MaxWoche),"Wochenstunden &gt; Prüfgrenze; ","")&amp;IF(AND(BF157="Ja",ISNUMBER(AC157),AC157&gt;P_MaxWocheJugend),"Jugendlicher &gt; 40 h/Woche; ","")&amp;IF(AND(ISNUMBER(BD157),BD157&lt;P_Mindestlohn,Q157&lt;&gt;"Auszubildende/r",Q157&lt;&gt;"Praktikant/in"),"Mindestlohn unterschritten?; ","")&amp;IF(AND(Q157="Minijob (geringfügig)",ISNUMBER(BB157),BB157&gt;P_Minijob),"Minijob-Grenze überschritten; ","")&amp;IF(AND(R157="Ja",S157=""),"Befristung ohne Enddatum; ","")&amp;IF(AND(ISNUMBER(O157),ISNUMBER(N157),O157&lt;N157),"Austritt vor Eintritt; ","")&amp;IF(AND(ISNUMBER(AU157),ISNUMBER(AV157),AU157&lt;AV157),"Urlaub unter gesetzl. Minimum; ","")&amp;IF(AND(ISNUMBER(AC157),ISNUMBER(AF157),ABS(N(AC157)-N(AF157))&gt;0.01),"Wochenstd. weichen vom Modell ab; ","")&amp;IF(AND(AI157="Ja",OR(AJ157="",AK157="")),"Kontogrenzen fehlen; ","")&amp;IF(AND(AL157="Mit Gehalt abgegolten (Pauschale)",AM157=""),"Überstunden-Pauschale fehlt; ","")))</f>
        <v/>
      </c>
      <c r="BH157" s="38"/>
    </row>
    <row r="158" customFormat="false" ht="15" hidden="false" customHeight="false" outlineLevel="0" collapsed="false">
      <c r="A158" s="37"/>
      <c r="B158" s="38"/>
      <c r="C158" s="38"/>
      <c r="D158" s="38"/>
      <c r="E158" s="38"/>
      <c r="F158" s="39"/>
      <c r="G158" s="38"/>
      <c r="H158" s="38"/>
      <c r="I158" s="37"/>
      <c r="J158" s="38"/>
      <c r="K158" s="38"/>
      <c r="L158" s="38"/>
      <c r="M158" s="38"/>
      <c r="N158" s="39"/>
      <c r="O158" s="39"/>
      <c r="P158" s="38"/>
      <c r="Q158" s="38"/>
      <c r="R158" s="38"/>
      <c r="S158" s="39"/>
      <c r="T158" s="39"/>
      <c r="U158" s="38"/>
      <c r="V158" s="38"/>
      <c r="W158" s="37"/>
      <c r="X158" s="38"/>
      <c r="Y158" s="38"/>
      <c r="Z158" s="37"/>
      <c r="AA158" s="38"/>
      <c r="AB158" s="38"/>
      <c r="AC158" s="40"/>
      <c r="AD158" s="41"/>
      <c r="AE158" s="42" t="str">
        <f aca="false">IF(OR(A158="",NOT(ISNUMBER(AC158)),NOT(ISNUMBER(AD158))),"",IF(AD158&gt;0,AC158/AD158,""))</f>
        <v/>
      </c>
      <c r="AF158" s="42" t="str">
        <f aca="false">IF(OR(A158="",AB158=""),"",IFERROR(INDEX(Arbeitszeitmodelle!$C$5:$C$34,MATCH(AB158,Arbeitszeitmodelle!$A$5:$A$34,0)),""))</f>
        <v/>
      </c>
      <c r="AG158" s="38"/>
      <c r="AH158" s="38"/>
      <c r="AI158" s="38"/>
      <c r="AJ158" s="41"/>
      <c r="AK158" s="41"/>
      <c r="AL158" s="38"/>
      <c r="AM158" s="41"/>
      <c r="AN158" s="38"/>
      <c r="AO158" s="38"/>
      <c r="AP158" s="38"/>
      <c r="AQ158" s="38"/>
      <c r="AR158" s="41"/>
      <c r="AS158" s="40"/>
      <c r="AT158" s="39"/>
      <c r="AU158" s="41"/>
      <c r="AV158" s="43" t="str">
        <f aca="false">IF(OR(A158="",NOT(ISNUMBER(AD158))),"",P_MinUrlaubWerktage/6*AD158)</f>
        <v/>
      </c>
      <c r="AW158" s="43" t="str">
        <f aca="false">IF(A158="","",IF(M158="Ja",P_ZusatzSB*IF(ISNUMBER(AD158),AD158,5)/5,0))</f>
        <v/>
      </c>
      <c r="AX158" s="41"/>
      <c r="AY158" s="39"/>
      <c r="AZ158" s="43" t="str">
        <f aca="false">IF(OR(A158="",NOT(ISNUMBER(AU158))),"",SUM(AU158,AW158,AX158))</f>
        <v/>
      </c>
      <c r="BA158" s="38"/>
      <c r="BB158" s="44"/>
      <c r="BC158" s="44"/>
      <c r="BD158" s="45" t="str">
        <f aca="false">IF(A158="","",IF(BA158="Stundenlohn",IF(ISNUMBER(BC158),BC158,""),IF(AND(ISNUMBER(BB158),ISNUMBER(AC158)),IF(AC158&gt;0,BB158*12/(AC158*52),""),"")))</f>
        <v/>
      </c>
      <c r="BE158" s="46" t="str">
        <f aca="false">IF(OR(A158="",NOT(ISNUMBER(F158))),"",IFERROR(DATEDIF(F158,P_Stichtag,"Y"),""))</f>
        <v/>
      </c>
      <c r="BF158" s="47" t="str">
        <f aca="false">IF(OR(A158="",NOT(ISNUMBER(BE158))),"",IF(BE158&lt;18,"Ja","Nein"))</f>
        <v/>
      </c>
      <c r="BG158" s="48" t="str">
        <f aca="false">IF(A158="","",IF((IF(OR(B158="",C158="",F158="",N158="",Q158="",AB158="",AC158="",AD158="",AU158=""),"Pflichtfelder fehlen; ","")&amp;IF(AND(ISNUMBER(AC158),AC158&gt;P_MaxWoche),"Wochenstunden &gt; Prüfgrenze; ","")&amp;IF(AND(BF158="Ja",ISNUMBER(AC158),AC158&gt;P_MaxWocheJugend),"Jugendlicher &gt; 40 h/Woche; ","")&amp;IF(AND(ISNUMBER(BD158),BD158&lt;P_Mindestlohn,Q158&lt;&gt;"Auszubildende/r",Q158&lt;&gt;"Praktikant/in"),"Mindestlohn unterschritten?; ","")&amp;IF(AND(Q158="Minijob (geringfügig)",ISNUMBER(BB158),BB158&gt;P_Minijob),"Minijob-Grenze überschritten; ","")&amp;IF(AND(R158="Ja",S158=""),"Befristung ohne Enddatum; ","")&amp;IF(AND(ISNUMBER(O158),ISNUMBER(N158),O158&lt;N158),"Austritt vor Eintritt; ","")&amp;IF(AND(ISNUMBER(AU158),ISNUMBER(AV158),AU158&lt;AV158),"Urlaub unter gesetzl. Minimum; ","")&amp;IF(AND(ISNUMBER(AC158),ISNUMBER(AF158),ABS(N(AC158)-N(AF158))&gt;0.01),"Wochenstd. weichen vom Modell ab; ","")&amp;IF(AND(AI158="Ja",OR(AJ158="",AK158="")),"Kontogrenzen fehlen; ","")&amp;IF(AND(AL158="Mit Gehalt abgegolten (Pauschale)",AM158=""),"Überstunden-Pauschale fehlt; ",""))="","OK",IF(OR(B158="",C158="",F158="",N158="",Q158="",AB158="",AC158="",AD158="",AU158=""),"Pflichtfelder fehlen; ","")&amp;IF(AND(ISNUMBER(AC158),AC158&gt;P_MaxWoche),"Wochenstunden &gt; Prüfgrenze; ","")&amp;IF(AND(BF158="Ja",ISNUMBER(AC158),AC158&gt;P_MaxWocheJugend),"Jugendlicher &gt; 40 h/Woche; ","")&amp;IF(AND(ISNUMBER(BD158),BD158&lt;P_Mindestlohn,Q158&lt;&gt;"Auszubildende/r",Q158&lt;&gt;"Praktikant/in"),"Mindestlohn unterschritten?; ","")&amp;IF(AND(Q158="Minijob (geringfügig)",ISNUMBER(BB158),BB158&gt;P_Minijob),"Minijob-Grenze überschritten; ","")&amp;IF(AND(R158="Ja",S158=""),"Befristung ohne Enddatum; ","")&amp;IF(AND(ISNUMBER(O158),ISNUMBER(N158),O158&lt;N158),"Austritt vor Eintritt; ","")&amp;IF(AND(ISNUMBER(AU158),ISNUMBER(AV158),AU158&lt;AV158),"Urlaub unter gesetzl. Minimum; ","")&amp;IF(AND(ISNUMBER(AC158),ISNUMBER(AF158),ABS(N(AC158)-N(AF158))&gt;0.01),"Wochenstd. weichen vom Modell ab; ","")&amp;IF(AND(AI158="Ja",OR(AJ158="",AK158="")),"Kontogrenzen fehlen; ","")&amp;IF(AND(AL158="Mit Gehalt abgegolten (Pauschale)",AM158=""),"Überstunden-Pauschale fehlt; ","")))</f>
        <v/>
      </c>
      <c r="BH158" s="38"/>
    </row>
    <row r="159" customFormat="false" ht="15" hidden="false" customHeight="false" outlineLevel="0" collapsed="false">
      <c r="A159" s="37"/>
      <c r="B159" s="38"/>
      <c r="C159" s="38"/>
      <c r="D159" s="38"/>
      <c r="E159" s="38"/>
      <c r="F159" s="39"/>
      <c r="G159" s="38"/>
      <c r="H159" s="38"/>
      <c r="I159" s="37"/>
      <c r="J159" s="38"/>
      <c r="K159" s="38"/>
      <c r="L159" s="38"/>
      <c r="M159" s="38"/>
      <c r="N159" s="39"/>
      <c r="O159" s="39"/>
      <c r="P159" s="38"/>
      <c r="Q159" s="38"/>
      <c r="R159" s="38"/>
      <c r="S159" s="39"/>
      <c r="T159" s="39"/>
      <c r="U159" s="38"/>
      <c r="V159" s="38"/>
      <c r="W159" s="37"/>
      <c r="X159" s="38"/>
      <c r="Y159" s="38"/>
      <c r="Z159" s="37"/>
      <c r="AA159" s="38"/>
      <c r="AB159" s="38"/>
      <c r="AC159" s="40"/>
      <c r="AD159" s="41"/>
      <c r="AE159" s="42" t="str">
        <f aca="false">IF(OR(A159="",NOT(ISNUMBER(AC159)),NOT(ISNUMBER(AD159))),"",IF(AD159&gt;0,AC159/AD159,""))</f>
        <v/>
      </c>
      <c r="AF159" s="42" t="str">
        <f aca="false">IF(OR(A159="",AB159=""),"",IFERROR(INDEX(Arbeitszeitmodelle!$C$5:$C$34,MATCH(AB159,Arbeitszeitmodelle!$A$5:$A$34,0)),""))</f>
        <v/>
      </c>
      <c r="AG159" s="38"/>
      <c r="AH159" s="38"/>
      <c r="AI159" s="38"/>
      <c r="AJ159" s="41"/>
      <c r="AK159" s="41"/>
      <c r="AL159" s="38"/>
      <c r="AM159" s="41"/>
      <c r="AN159" s="38"/>
      <c r="AO159" s="38"/>
      <c r="AP159" s="38"/>
      <c r="AQ159" s="38"/>
      <c r="AR159" s="41"/>
      <c r="AS159" s="40"/>
      <c r="AT159" s="39"/>
      <c r="AU159" s="41"/>
      <c r="AV159" s="43" t="str">
        <f aca="false">IF(OR(A159="",NOT(ISNUMBER(AD159))),"",P_MinUrlaubWerktage/6*AD159)</f>
        <v/>
      </c>
      <c r="AW159" s="43" t="str">
        <f aca="false">IF(A159="","",IF(M159="Ja",P_ZusatzSB*IF(ISNUMBER(AD159),AD159,5)/5,0))</f>
        <v/>
      </c>
      <c r="AX159" s="41"/>
      <c r="AY159" s="39"/>
      <c r="AZ159" s="43" t="str">
        <f aca="false">IF(OR(A159="",NOT(ISNUMBER(AU159))),"",SUM(AU159,AW159,AX159))</f>
        <v/>
      </c>
      <c r="BA159" s="38"/>
      <c r="BB159" s="44"/>
      <c r="BC159" s="44"/>
      <c r="BD159" s="45" t="str">
        <f aca="false">IF(A159="","",IF(BA159="Stundenlohn",IF(ISNUMBER(BC159),BC159,""),IF(AND(ISNUMBER(BB159),ISNUMBER(AC159)),IF(AC159&gt;0,BB159*12/(AC159*52),""),"")))</f>
        <v/>
      </c>
      <c r="BE159" s="46" t="str">
        <f aca="false">IF(OR(A159="",NOT(ISNUMBER(F159))),"",IFERROR(DATEDIF(F159,P_Stichtag,"Y"),""))</f>
        <v/>
      </c>
      <c r="BF159" s="47" t="str">
        <f aca="false">IF(OR(A159="",NOT(ISNUMBER(BE159))),"",IF(BE159&lt;18,"Ja","Nein"))</f>
        <v/>
      </c>
      <c r="BG159" s="48" t="str">
        <f aca="false">IF(A159="","",IF((IF(OR(B159="",C159="",F159="",N159="",Q159="",AB159="",AC159="",AD159="",AU159=""),"Pflichtfelder fehlen; ","")&amp;IF(AND(ISNUMBER(AC159),AC159&gt;P_MaxWoche),"Wochenstunden &gt; Prüfgrenze; ","")&amp;IF(AND(BF159="Ja",ISNUMBER(AC159),AC159&gt;P_MaxWocheJugend),"Jugendlicher &gt; 40 h/Woche; ","")&amp;IF(AND(ISNUMBER(BD159),BD159&lt;P_Mindestlohn,Q159&lt;&gt;"Auszubildende/r",Q159&lt;&gt;"Praktikant/in"),"Mindestlohn unterschritten?; ","")&amp;IF(AND(Q159="Minijob (geringfügig)",ISNUMBER(BB159),BB159&gt;P_Minijob),"Minijob-Grenze überschritten; ","")&amp;IF(AND(R159="Ja",S159=""),"Befristung ohne Enddatum; ","")&amp;IF(AND(ISNUMBER(O159),ISNUMBER(N159),O159&lt;N159),"Austritt vor Eintritt; ","")&amp;IF(AND(ISNUMBER(AU159),ISNUMBER(AV159),AU159&lt;AV159),"Urlaub unter gesetzl. Minimum; ","")&amp;IF(AND(ISNUMBER(AC159),ISNUMBER(AF159),ABS(N(AC159)-N(AF159))&gt;0.01),"Wochenstd. weichen vom Modell ab; ","")&amp;IF(AND(AI159="Ja",OR(AJ159="",AK159="")),"Kontogrenzen fehlen; ","")&amp;IF(AND(AL159="Mit Gehalt abgegolten (Pauschale)",AM159=""),"Überstunden-Pauschale fehlt; ",""))="","OK",IF(OR(B159="",C159="",F159="",N159="",Q159="",AB159="",AC159="",AD159="",AU159=""),"Pflichtfelder fehlen; ","")&amp;IF(AND(ISNUMBER(AC159),AC159&gt;P_MaxWoche),"Wochenstunden &gt; Prüfgrenze; ","")&amp;IF(AND(BF159="Ja",ISNUMBER(AC159),AC159&gt;P_MaxWocheJugend),"Jugendlicher &gt; 40 h/Woche; ","")&amp;IF(AND(ISNUMBER(BD159),BD159&lt;P_Mindestlohn,Q159&lt;&gt;"Auszubildende/r",Q159&lt;&gt;"Praktikant/in"),"Mindestlohn unterschritten?; ","")&amp;IF(AND(Q159="Minijob (geringfügig)",ISNUMBER(BB159),BB159&gt;P_Minijob),"Minijob-Grenze überschritten; ","")&amp;IF(AND(R159="Ja",S159=""),"Befristung ohne Enddatum; ","")&amp;IF(AND(ISNUMBER(O159),ISNUMBER(N159),O159&lt;N159),"Austritt vor Eintritt; ","")&amp;IF(AND(ISNUMBER(AU159),ISNUMBER(AV159),AU159&lt;AV159),"Urlaub unter gesetzl. Minimum; ","")&amp;IF(AND(ISNUMBER(AC159),ISNUMBER(AF159),ABS(N(AC159)-N(AF159))&gt;0.01),"Wochenstd. weichen vom Modell ab; ","")&amp;IF(AND(AI159="Ja",OR(AJ159="",AK159="")),"Kontogrenzen fehlen; ","")&amp;IF(AND(AL159="Mit Gehalt abgegolten (Pauschale)",AM159=""),"Überstunden-Pauschale fehlt; ","")))</f>
        <v/>
      </c>
      <c r="BH159" s="38"/>
    </row>
    <row r="160" customFormat="false" ht="15" hidden="false" customHeight="false" outlineLevel="0" collapsed="false">
      <c r="A160" s="37"/>
      <c r="B160" s="38"/>
      <c r="C160" s="38"/>
      <c r="D160" s="38"/>
      <c r="E160" s="38"/>
      <c r="F160" s="39"/>
      <c r="G160" s="38"/>
      <c r="H160" s="38"/>
      <c r="I160" s="37"/>
      <c r="J160" s="38"/>
      <c r="K160" s="38"/>
      <c r="L160" s="38"/>
      <c r="M160" s="38"/>
      <c r="N160" s="39"/>
      <c r="O160" s="39"/>
      <c r="P160" s="38"/>
      <c r="Q160" s="38"/>
      <c r="R160" s="38"/>
      <c r="S160" s="39"/>
      <c r="T160" s="39"/>
      <c r="U160" s="38"/>
      <c r="V160" s="38"/>
      <c r="W160" s="37"/>
      <c r="X160" s="38"/>
      <c r="Y160" s="38"/>
      <c r="Z160" s="37"/>
      <c r="AA160" s="38"/>
      <c r="AB160" s="38"/>
      <c r="AC160" s="40"/>
      <c r="AD160" s="41"/>
      <c r="AE160" s="42" t="str">
        <f aca="false">IF(OR(A160="",NOT(ISNUMBER(AC160)),NOT(ISNUMBER(AD160))),"",IF(AD160&gt;0,AC160/AD160,""))</f>
        <v/>
      </c>
      <c r="AF160" s="42" t="str">
        <f aca="false">IF(OR(A160="",AB160=""),"",IFERROR(INDEX(Arbeitszeitmodelle!$C$5:$C$34,MATCH(AB160,Arbeitszeitmodelle!$A$5:$A$34,0)),""))</f>
        <v/>
      </c>
      <c r="AG160" s="38"/>
      <c r="AH160" s="38"/>
      <c r="AI160" s="38"/>
      <c r="AJ160" s="41"/>
      <c r="AK160" s="41"/>
      <c r="AL160" s="38"/>
      <c r="AM160" s="41"/>
      <c r="AN160" s="38"/>
      <c r="AO160" s="38"/>
      <c r="AP160" s="38"/>
      <c r="AQ160" s="38"/>
      <c r="AR160" s="41"/>
      <c r="AS160" s="40"/>
      <c r="AT160" s="39"/>
      <c r="AU160" s="41"/>
      <c r="AV160" s="43" t="str">
        <f aca="false">IF(OR(A160="",NOT(ISNUMBER(AD160))),"",P_MinUrlaubWerktage/6*AD160)</f>
        <v/>
      </c>
      <c r="AW160" s="43" t="str">
        <f aca="false">IF(A160="","",IF(M160="Ja",P_ZusatzSB*IF(ISNUMBER(AD160),AD160,5)/5,0))</f>
        <v/>
      </c>
      <c r="AX160" s="41"/>
      <c r="AY160" s="39"/>
      <c r="AZ160" s="43" t="str">
        <f aca="false">IF(OR(A160="",NOT(ISNUMBER(AU160))),"",SUM(AU160,AW160,AX160))</f>
        <v/>
      </c>
      <c r="BA160" s="38"/>
      <c r="BB160" s="44"/>
      <c r="BC160" s="44"/>
      <c r="BD160" s="45" t="str">
        <f aca="false">IF(A160="","",IF(BA160="Stundenlohn",IF(ISNUMBER(BC160),BC160,""),IF(AND(ISNUMBER(BB160),ISNUMBER(AC160)),IF(AC160&gt;0,BB160*12/(AC160*52),""),"")))</f>
        <v/>
      </c>
      <c r="BE160" s="46" t="str">
        <f aca="false">IF(OR(A160="",NOT(ISNUMBER(F160))),"",IFERROR(DATEDIF(F160,P_Stichtag,"Y"),""))</f>
        <v/>
      </c>
      <c r="BF160" s="47" t="str">
        <f aca="false">IF(OR(A160="",NOT(ISNUMBER(BE160))),"",IF(BE160&lt;18,"Ja","Nein"))</f>
        <v/>
      </c>
      <c r="BG160" s="48" t="str">
        <f aca="false">IF(A160="","",IF((IF(OR(B160="",C160="",F160="",N160="",Q160="",AB160="",AC160="",AD160="",AU160=""),"Pflichtfelder fehlen; ","")&amp;IF(AND(ISNUMBER(AC160),AC160&gt;P_MaxWoche),"Wochenstunden &gt; Prüfgrenze; ","")&amp;IF(AND(BF160="Ja",ISNUMBER(AC160),AC160&gt;P_MaxWocheJugend),"Jugendlicher &gt; 40 h/Woche; ","")&amp;IF(AND(ISNUMBER(BD160),BD160&lt;P_Mindestlohn,Q160&lt;&gt;"Auszubildende/r",Q160&lt;&gt;"Praktikant/in"),"Mindestlohn unterschritten?; ","")&amp;IF(AND(Q160="Minijob (geringfügig)",ISNUMBER(BB160),BB160&gt;P_Minijob),"Minijob-Grenze überschritten; ","")&amp;IF(AND(R160="Ja",S160=""),"Befristung ohne Enddatum; ","")&amp;IF(AND(ISNUMBER(O160),ISNUMBER(N160),O160&lt;N160),"Austritt vor Eintritt; ","")&amp;IF(AND(ISNUMBER(AU160),ISNUMBER(AV160),AU160&lt;AV160),"Urlaub unter gesetzl. Minimum; ","")&amp;IF(AND(ISNUMBER(AC160),ISNUMBER(AF160),ABS(N(AC160)-N(AF160))&gt;0.01),"Wochenstd. weichen vom Modell ab; ","")&amp;IF(AND(AI160="Ja",OR(AJ160="",AK160="")),"Kontogrenzen fehlen; ","")&amp;IF(AND(AL160="Mit Gehalt abgegolten (Pauschale)",AM160=""),"Überstunden-Pauschale fehlt; ",""))="","OK",IF(OR(B160="",C160="",F160="",N160="",Q160="",AB160="",AC160="",AD160="",AU160=""),"Pflichtfelder fehlen; ","")&amp;IF(AND(ISNUMBER(AC160),AC160&gt;P_MaxWoche),"Wochenstunden &gt; Prüfgrenze; ","")&amp;IF(AND(BF160="Ja",ISNUMBER(AC160),AC160&gt;P_MaxWocheJugend),"Jugendlicher &gt; 40 h/Woche; ","")&amp;IF(AND(ISNUMBER(BD160),BD160&lt;P_Mindestlohn,Q160&lt;&gt;"Auszubildende/r",Q160&lt;&gt;"Praktikant/in"),"Mindestlohn unterschritten?; ","")&amp;IF(AND(Q160="Minijob (geringfügig)",ISNUMBER(BB160),BB160&gt;P_Minijob),"Minijob-Grenze überschritten; ","")&amp;IF(AND(R160="Ja",S160=""),"Befristung ohne Enddatum; ","")&amp;IF(AND(ISNUMBER(O160),ISNUMBER(N160),O160&lt;N160),"Austritt vor Eintritt; ","")&amp;IF(AND(ISNUMBER(AU160),ISNUMBER(AV160),AU160&lt;AV160),"Urlaub unter gesetzl. Minimum; ","")&amp;IF(AND(ISNUMBER(AC160),ISNUMBER(AF160),ABS(N(AC160)-N(AF160))&gt;0.01),"Wochenstd. weichen vom Modell ab; ","")&amp;IF(AND(AI160="Ja",OR(AJ160="",AK160="")),"Kontogrenzen fehlen; ","")&amp;IF(AND(AL160="Mit Gehalt abgegolten (Pauschale)",AM160=""),"Überstunden-Pauschale fehlt; ","")))</f>
        <v/>
      </c>
      <c r="BH160" s="38"/>
    </row>
    <row r="161" customFormat="false" ht="15" hidden="false" customHeight="false" outlineLevel="0" collapsed="false">
      <c r="A161" s="37"/>
      <c r="B161" s="38"/>
      <c r="C161" s="38"/>
      <c r="D161" s="38"/>
      <c r="E161" s="38"/>
      <c r="F161" s="39"/>
      <c r="G161" s="38"/>
      <c r="H161" s="38"/>
      <c r="I161" s="37"/>
      <c r="J161" s="38"/>
      <c r="K161" s="38"/>
      <c r="L161" s="38"/>
      <c r="M161" s="38"/>
      <c r="N161" s="39"/>
      <c r="O161" s="39"/>
      <c r="P161" s="38"/>
      <c r="Q161" s="38"/>
      <c r="R161" s="38"/>
      <c r="S161" s="39"/>
      <c r="T161" s="39"/>
      <c r="U161" s="38"/>
      <c r="V161" s="38"/>
      <c r="W161" s="37"/>
      <c r="X161" s="38"/>
      <c r="Y161" s="38"/>
      <c r="Z161" s="37"/>
      <c r="AA161" s="38"/>
      <c r="AB161" s="38"/>
      <c r="AC161" s="40"/>
      <c r="AD161" s="41"/>
      <c r="AE161" s="42" t="str">
        <f aca="false">IF(OR(A161="",NOT(ISNUMBER(AC161)),NOT(ISNUMBER(AD161))),"",IF(AD161&gt;0,AC161/AD161,""))</f>
        <v/>
      </c>
      <c r="AF161" s="42" t="str">
        <f aca="false">IF(OR(A161="",AB161=""),"",IFERROR(INDEX(Arbeitszeitmodelle!$C$5:$C$34,MATCH(AB161,Arbeitszeitmodelle!$A$5:$A$34,0)),""))</f>
        <v/>
      </c>
      <c r="AG161" s="38"/>
      <c r="AH161" s="38"/>
      <c r="AI161" s="38"/>
      <c r="AJ161" s="41"/>
      <c r="AK161" s="41"/>
      <c r="AL161" s="38"/>
      <c r="AM161" s="41"/>
      <c r="AN161" s="38"/>
      <c r="AO161" s="38"/>
      <c r="AP161" s="38"/>
      <c r="AQ161" s="38"/>
      <c r="AR161" s="41"/>
      <c r="AS161" s="40"/>
      <c r="AT161" s="39"/>
      <c r="AU161" s="41"/>
      <c r="AV161" s="43" t="str">
        <f aca="false">IF(OR(A161="",NOT(ISNUMBER(AD161))),"",P_MinUrlaubWerktage/6*AD161)</f>
        <v/>
      </c>
      <c r="AW161" s="43" t="str">
        <f aca="false">IF(A161="","",IF(M161="Ja",P_ZusatzSB*IF(ISNUMBER(AD161),AD161,5)/5,0))</f>
        <v/>
      </c>
      <c r="AX161" s="41"/>
      <c r="AY161" s="39"/>
      <c r="AZ161" s="43" t="str">
        <f aca="false">IF(OR(A161="",NOT(ISNUMBER(AU161))),"",SUM(AU161,AW161,AX161))</f>
        <v/>
      </c>
      <c r="BA161" s="38"/>
      <c r="BB161" s="44"/>
      <c r="BC161" s="44"/>
      <c r="BD161" s="45" t="str">
        <f aca="false">IF(A161="","",IF(BA161="Stundenlohn",IF(ISNUMBER(BC161),BC161,""),IF(AND(ISNUMBER(BB161),ISNUMBER(AC161)),IF(AC161&gt;0,BB161*12/(AC161*52),""),"")))</f>
        <v/>
      </c>
      <c r="BE161" s="46" t="str">
        <f aca="false">IF(OR(A161="",NOT(ISNUMBER(F161))),"",IFERROR(DATEDIF(F161,P_Stichtag,"Y"),""))</f>
        <v/>
      </c>
      <c r="BF161" s="47" t="str">
        <f aca="false">IF(OR(A161="",NOT(ISNUMBER(BE161))),"",IF(BE161&lt;18,"Ja","Nein"))</f>
        <v/>
      </c>
      <c r="BG161" s="48" t="str">
        <f aca="false">IF(A161="","",IF((IF(OR(B161="",C161="",F161="",N161="",Q161="",AB161="",AC161="",AD161="",AU161=""),"Pflichtfelder fehlen; ","")&amp;IF(AND(ISNUMBER(AC161),AC161&gt;P_MaxWoche),"Wochenstunden &gt; Prüfgrenze; ","")&amp;IF(AND(BF161="Ja",ISNUMBER(AC161),AC161&gt;P_MaxWocheJugend),"Jugendlicher &gt; 40 h/Woche; ","")&amp;IF(AND(ISNUMBER(BD161),BD161&lt;P_Mindestlohn,Q161&lt;&gt;"Auszubildende/r",Q161&lt;&gt;"Praktikant/in"),"Mindestlohn unterschritten?; ","")&amp;IF(AND(Q161="Minijob (geringfügig)",ISNUMBER(BB161),BB161&gt;P_Minijob),"Minijob-Grenze überschritten; ","")&amp;IF(AND(R161="Ja",S161=""),"Befristung ohne Enddatum; ","")&amp;IF(AND(ISNUMBER(O161),ISNUMBER(N161),O161&lt;N161),"Austritt vor Eintritt; ","")&amp;IF(AND(ISNUMBER(AU161),ISNUMBER(AV161),AU161&lt;AV161),"Urlaub unter gesetzl. Minimum; ","")&amp;IF(AND(ISNUMBER(AC161),ISNUMBER(AF161),ABS(N(AC161)-N(AF161))&gt;0.01),"Wochenstd. weichen vom Modell ab; ","")&amp;IF(AND(AI161="Ja",OR(AJ161="",AK161="")),"Kontogrenzen fehlen; ","")&amp;IF(AND(AL161="Mit Gehalt abgegolten (Pauschale)",AM161=""),"Überstunden-Pauschale fehlt; ",""))="","OK",IF(OR(B161="",C161="",F161="",N161="",Q161="",AB161="",AC161="",AD161="",AU161=""),"Pflichtfelder fehlen; ","")&amp;IF(AND(ISNUMBER(AC161),AC161&gt;P_MaxWoche),"Wochenstunden &gt; Prüfgrenze; ","")&amp;IF(AND(BF161="Ja",ISNUMBER(AC161),AC161&gt;P_MaxWocheJugend),"Jugendlicher &gt; 40 h/Woche; ","")&amp;IF(AND(ISNUMBER(BD161),BD161&lt;P_Mindestlohn,Q161&lt;&gt;"Auszubildende/r",Q161&lt;&gt;"Praktikant/in"),"Mindestlohn unterschritten?; ","")&amp;IF(AND(Q161="Minijob (geringfügig)",ISNUMBER(BB161),BB161&gt;P_Minijob),"Minijob-Grenze überschritten; ","")&amp;IF(AND(R161="Ja",S161=""),"Befristung ohne Enddatum; ","")&amp;IF(AND(ISNUMBER(O161),ISNUMBER(N161),O161&lt;N161),"Austritt vor Eintritt; ","")&amp;IF(AND(ISNUMBER(AU161),ISNUMBER(AV161),AU161&lt;AV161),"Urlaub unter gesetzl. Minimum; ","")&amp;IF(AND(ISNUMBER(AC161),ISNUMBER(AF161),ABS(N(AC161)-N(AF161))&gt;0.01),"Wochenstd. weichen vom Modell ab; ","")&amp;IF(AND(AI161="Ja",OR(AJ161="",AK161="")),"Kontogrenzen fehlen; ","")&amp;IF(AND(AL161="Mit Gehalt abgegolten (Pauschale)",AM161=""),"Überstunden-Pauschale fehlt; ","")))</f>
        <v/>
      </c>
      <c r="BH161" s="38"/>
    </row>
    <row r="162" customFormat="false" ht="15" hidden="false" customHeight="false" outlineLevel="0" collapsed="false">
      <c r="A162" s="37"/>
      <c r="B162" s="38"/>
      <c r="C162" s="38"/>
      <c r="D162" s="38"/>
      <c r="E162" s="38"/>
      <c r="F162" s="39"/>
      <c r="G162" s="38"/>
      <c r="H162" s="38"/>
      <c r="I162" s="37"/>
      <c r="J162" s="38"/>
      <c r="K162" s="38"/>
      <c r="L162" s="38"/>
      <c r="M162" s="38"/>
      <c r="N162" s="39"/>
      <c r="O162" s="39"/>
      <c r="P162" s="38"/>
      <c r="Q162" s="38"/>
      <c r="R162" s="38"/>
      <c r="S162" s="39"/>
      <c r="T162" s="39"/>
      <c r="U162" s="38"/>
      <c r="V162" s="38"/>
      <c r="W162" s="37"/>
      <c r="X162" s="38"/>
      <c r="Y162" s="38"/>
      <c r="Z162" s="37"/>
      <c r="AA162" s="38"/>
      <c r="AB162" s="38"/>
      <c r="AC162" s="40"/>
      <c r="AD162" s="41"/>
      <c r="AE162" s="42" t="str">
        <f aca="false">IF(OR(A162="",NOT(ISNUMBER(AC162)),NOT(ISNUMBER(AD162))),"",IF(AD162&gt;0,AC162/AD162,""))</f>
        <v/>
      </c>
      <c r="AF162" s="42" t="str">
        <f aca="false">IF(OR(A162="",AB162=""),"",IFERROR(INDEX(Arbeitszeitmodelle!$C$5:$C$34,MATCH(AB162,Arbeitszeitmodelle!$A$5:$A$34,0)),""))</f>
        <v/>
      </c>
      <c r="AG162" s="38"/>
      <c r="AH162" s="38"/>
      <c r="AI162" s="38"/>
      <c r="AJ162" s="41"/>
      <c r="AK162" s="41"/>
      <c r="AL162" s="38"/>
      <c r="AM162" s="41"/>
      <c r="AN162" s="38"/>
      <c r="AO162" s="38"/>
      <c r="AP162" s="38"/>
      <c r="AQ162" s="38"/>
      <c r="AR162" s="41"/>
      <c r="AS162" s="40"/>
      <c r="AT162" s="39"/>
      <c r="AU162" s="41"/>
      <c r="AV162" s="43" t="str">
        <f aca="false">IF(OR(A162="",NOT(ISNUMBER(AD162))),"",P_MinUrlaubWerktage/6*AD162)</f>
        <v/>
      </c>
      <c r="AW162" s="43" t="str">
        <f aca="false">IF(A162="","",IF(M162="Ja",P_ZusatzSB*IF(ISNUMBER(AD162),AD162,5)/5,0))</f>
        <v/>
      </c>
      <c r="AX162" s="41"/>
      <c r="AY162" s="39"/>
      <c r="AZ162" s="43" t="str">
        <f aca="false">IF(OR(A162="",NOT(ISNUMBER(AU162))),"",SUM(AU162,AW162,AX162))</f>
        <v/>
      </c>
      <c r="BA162" s="38"/>
      <c r="BB162" s="44"/>
      <c r="BC162" s="44"/>
      <c r="BD162" s="45" t="str">
        <f aca="false">IF(A162="","",IF(BA162="Stundenlohn",IF(ISNUMBER(BC162),BC162,""),IF(AND(ISNUMBER(BB162),ISNUMBER(AC162)),IF(AC162&gt;0,BB162*12/(AC162*52),""),"")))</f>
        <v/>
      </c>
      <c r="BE162" s="46" t="str">
        <f aca="false">IF(OR(A162="",NOT(ISNUMBER(F162))),"",IFERROR(DATEDIF(F162,P_Stichtag,"Y"),""))</f>
        <v/>
      </c>
      <c r="BF162" s="47" t="str">
        <f aca="false">IF(OR(A162="",NOT(ISNUMBER(BE162))),"",IF(BE162&lt;18,"Ja","Nein"))</f>
        <v/>
      </c>
      <c r="BG162" s="48" t="str">
        <f aca="false">IF(A162="","",IF((IF(OR(B162="",C162="",F162="",N162="",Q162="",AB162="",AC162="",AD162="",AU162=""),"Pflichtfelder fehlen; ","")&amp;IF(AND(ISNUMBER(AC162),AC162&gt;P_MaxWoche),"Wochenstunden &gt; Prüfgrenze; ","")&amp;IF(AND(BF162="Ja",ISNUMBER(AC162),AC162&gt;P_MaxWocheJugend),"Jugendlicher &gt; 40 h/Woche; ","")&amp;IF(AND(ISNUMBER(BD162),BD162&lt;P_Mindestlohn,Q162&lt;&gt;"Auszubildende/r",Q162&lt;&gt;"Praktikant/in"),"Mindestlohn unterschritten?; ","")&amp;IF(AND(Q162="Minijob (geringfügig)",ISNUMBER(BB162),BB162&gt;P_Minijob),"Minijob-Grenze überschritten; ","")&amp;IF(AND(R162="Ja",S162=""),"Befristung ohne Enddatum; ","")&amp;IF(AND(ISNUMBER(O162),ISNUMBER(N162),O162&lt;N162),"Austritt vor Eintritt; ","")&amp;IF(AND(ISNUMBER(AU162),ISNUMBER(AV162),AU162&lt;AV162),"Urlaub unter gesetzl. Minimum; ","")&amp;IF(AND(ISNUMBER(AC162),ISNUMBER(AF162),ABS(N(AC162)-N(AF162))&gt;0.01),"Wochenstd. weichen vom Modell ab; ","")&amp;IF(AND(AI162="Ja",OR(AJ162="",AK162="")),"Kontogrenzen fehlen; ","")&amp;IF(AND(AL162="Mit Gehalt abgegolten (Pauschale)",AM162=""),"Überstunden-Pauschale fehlt; ",""))="","OK",IF(OR(B162="",C162="",F162="",N162="",Q162="",AB162="",AC162="",AD162="",AU162=""),"Pflichtfelder fehlen; ","")&amp;IF(AND(ISNUMBER(AC162),AC162&gt;P_MaxWoche),"Wochenstunden &gt; Prüfgrenze; ","")&amp;IF(AND(BF162="Ja",ISNUMBER(AC162),AC162&gt;P_MaxWocheJugend),"Jugendlicher &gt; 40 h/Woche; ","")&amp;IF(AND(ISNUMBER(BD162),BD162&lt;P_Mindestlohn,Q162&lt;&gt;"Auszubildende/r",Q162&lt;&gt;"Praktikant/in"),"Mindestlohn unterschritten?; ","")&amp;IF(AND(Q162="Minijob (geringfügig)",ISNUMBER(BB162),BB162&gt;P_Minijob),"Minijob-Grenze überschritten; ","")&amp;IF(AND(R162="Ja",S162=""),"Befristung ohne Enddatum; ","")&amp;IF(AND(ISNUMBER(O162),ISNUMBER(N162),O162&lt;N162),"Austritt vor Eintritt; ","")&amp;IF(AND(ISNUMBER(AU162),ISNUMBER(AV162),AU162&lt;AV162),"Urlaub unter gesetzl. Minimum; ","")&amp;IF(AND(ISNUMBER(AC162),ISNUMBER(AF162),ABS(N(AC162)-N(AF162))&gt;0.01),"Wochenstd. weichen vom Modell ab; ","")&amp;IF(AND(AI162="Ja",OR(AJ162="",AK162="")),"Kontogrenzen fehlen; ","")&amp;IF(AND(AL162="Mit Gehalt abgegolten (Pauschale)",AM162=""),"Überstunden-Pauschale fehlt; ","")))</f>
        <v/>
      </c>
      <c r="BH162" s="38"/>
    </row>
    <row r="163" customFormat="false" ht="15" hidden="false" customHeight="false" outlineLevel="0" collapsed="false">
      <c r="A163" s="37"/>
      <c r="B163" s="38"/>
      <c r="C163" s="38"/>
      <c r="D163" s="38"/>
      <c r="E163" s="38"/>
      <c r="F163" s="39"/>
      <c r="G163" s="38"/>
      <c r="H163" s="38"/>
      <c r="I163" s="37"/>
      <c r="J163" s="38"/>
      <c r="K163" s="38"/>
      <c r="L163" s="38"/>
      <c r="M163" s="38"/>
      <c r="N163" s="39"/>
      <c r="O163" s="39"/>
      <c r="P163" s="38"/>
      <c r="Q163" s="38"/>
      <c r="R163" s="38"/>
      <c r="S163" s="39"/>
      <c r="T163" s="39"/>
      <c r="U163" s="38"/>
      <c r="V163" s="38"/>
      <c r="W163" s="37"/>
      <c r="X163" s="38"/>
      <c r="Y163" s="38"/>
      <c r="Z163" s="37"/>
      <c r="AA163" s="38"/>
      <c r="AB163" s="38"/>
      <c r="AC163" s="40"/>
      <c r="AD163" s="41"/>
      <c r="AE163" s="42" t="str">
        <f aca="false">IF(OR(A163="",NOT(ISNUMBER(AC163)),NOT(ISNUMBER(AD163))),"",IF(AD163&gt;0,AC163/AD163,""))</f>
        <v/>
      </c>
      <c r="AF163" s="42" t="str">
        <f aca="false">IF(OR(A163="",AB163=""),"",IFERROR(INDEX(Arbeitszeitmodelle!$C$5:$C$34,MATCH(AB163,Arbeitszeitmodelle!$A$5:$A$34,0)),""))</f>
        <v/>
      </c>
      <c r="AG163" s="38"/>
      <c r="AH163" s="38"/>
      <c r="AI163" s="38"/>
      <c r="AJ163" s="41"/>
      <c r="AK163" s="41"/>
      <c r="AL163" s="38"/>
      <c r="AM163" s="41"/>
      <c r="AN163" s="38"/>
      <c r="AO163" s="38"/>
      <c r="AP163" s="38"/>
      <c r="AQ163" s="38"/>
      <c r="AR163" s="41"/>
      <c r="AS163" s="40"/>
      <c r="AT163" s="39"/>
      <c r="AU163" s="41"/>
      <c r="AV163" s="43" t="str">
        <f aca="false">IF(OR(A163="",NOT(ISNUMBER(AD163))),"",P_MinUrlaubWerktage/6*AD163)</f>
        <v/>
      </c>
      <c r="AW163" s="43" t="str">
        <f aca="false">IF(A163="","",IF(M163="Ja",P_ZusatzSB*IF(ISNUMBER(AD163),AD163,5)/5,0))</f>
        <v/>
      </c>
      <c r="AX163" s="41"/>
      <c r="AY163" s="39"/>
      <c r="AZ163" s="43" t="str">
        <f aca="false">IF(OR(A163="",NOT(ISNUMBER(AU163))),"",SUM(AU163,AW163,AX163))</f>
        <v/>
      </c>
      <c r="BA163" s="38"/>
      <c r="BB163" s="44"/>
      <c r="BC163" s="44"/>
      <c r="BD163" s="45" t="str">
        <f aca="false">IF(A163="","",IF(BA163="Stundenlohn",IF(ISNUMBER(BC163),BC163,""),IF(AND(ISNUMBER(BB163),ISNUMBER(AC163)),IF(AC163&gt;0,BB163*12/(AC163*52),""),"")))</f>
        <v/>
      </c>
      <c r="BE163" s="46" t="str">
        <f aca="false">IF(OR(A163="",NOT(ISNUMBER(F163))),"",IFERROR(DATEDIF(F163,P_Stichtag,"Y"),""))</f>
        <v/>
      </c>
      <c r="BF163" s="47" t="str">
        <f aca="false">IF(OR(A163="",NOT(ISNUMBER(BE163))),"",IF(BE163&lt;18,"Ja","Nein"))</f>
        <v/>
      </c>
      <c r="BG163" s="48" t="str">
        <f aca="false">IF(A163="","",IF((IF(OR(B163="",C163="",F163="",N163="",Q163="",AB163="",AC163="",AD163="",AU163=""),"Pflichtfelder fehlen; ","")&amp;IF(AND(ISNUMBER(AC163),AC163&gt;P_MaxWoche),"Wochenstunden &gt; Prüfgrenze; ","")&amp;IF(AND(BF163="Ja",ISNUMBER(AC163),AC163&gt;P_MaxWocheJugend),"Jugendlicher &gt; 40 h/Woche; ","")&amp;IF(AND(ISNUMBER(BD163),BD163&lt;P_Mindestlohn,Q163&lt;&gt;"Auszubildende/r",Q163&lt;&gt;"Praktikant/in"),"Mindestlohn unterschritten?; ","")&amp;IF(AND(Q163="Minijob (geringfügig)",ISNUMBER(BB163),BB163&gt;P_Minijob),"Minijob-Grenze überschritten; ","")&amp;IF(AND(R163="Ja",S163=""),"Befristung ohne Enddatum; ","")&amp;IF(AND(ISNUMBER(O163),ISNUMBER(N163),O163&lt;N163),"Austritt vor Eintritt; ","")&amp;IF(AND(ISNUMBER(AU163),ISNUMBER(AV163),AU163&lt;AV163),"Urlaub unter gesetzl. Minimum; ","")&amp;IF(AND(ISNUMBER(AC163),ISNUMBER(AF163),ABS(N(AC163)-N(AF163))&gt;0.01),"Wochenstd. weichen vom Modell ab; ","")&amp;IF(AND(AI163="Ja",OR(AJ163="",AK163="")),"Kontogrenzen fehlen; ","")&amp;IF(AND(AL163="Mit Gehalt abgegolten (Pauschale)",AM163=""),"Überstunden-Pauschale fehlt; ",""))="","OK",IF(OR(B163="",C163="",F163="",N163="",Q163="",AB163="",AC163="",AD163="",AU163=""),"Pflichtfelder fehlen; ","")&amp;IF(AND(ISNUMBER(AC163),AC163&gt;P_MaxWoche),"Wochenstunden &gt; Prüfgrenze; ","")&amp;IF(AND(BF163="Ja",ISNUMBER(AC163),AC163&gt;P_MaxWocheJugend),"Jugendlicher &gt; 40 h/Woche; ","")&amp;IF(AND(ISNUMBER(BD163),BD163&lt;P_Mindestlohn,Q163&lt;&gt;"Auszubildende/r",Q163&lt;&gt;"Praktikant/in"),"Mindestlohn unterschritten?; ","")&amp;IF(AND(Q163="Minijob (geringfügig)",ISNUMBER(BB163),BB163&gt;P_Minijob),"Minijob-Grenze überschritten; ","")&amp;IF(AND(R163="Ja",S163=""),"Befristung ohne Enddatum; ","")&amp;IF(AND(ISNUMBER(O163),ISNUMBER(N163),O163&lt;N163),"Austritt vor Eintritt; ","")&amp;IF(AND(ISNUMBER(AU163),ISNUMBER(AV163),AU163&lt;AV163),"Urlaub unter gesetzl. Minimum; ","")&amp;IF(AND(ISNUMBER(AC163),ISNUMBER(AF163),ABS(N(AC163)-N(AF163))&gt;0.01),"Wochenstd. weichen vom Modell ab; ","")&amp;IF(AND(AI163="Ja",OR(AJ163="",AK163="")),"Kontogrenzen fehlen; ","")&amp;IF(AND(AL163="Mit Gehalt abgegolten (Pauschale)",AM163=""),"Überstunden-Pauschale fehlt; ","")))</f>
        <v/>
      </c>
      <c r="BH163" s="38"/>
    </row>
    <row r="164" customFormat="false" ht="15" hidden="false" customHeight="false" outlineLevel="0" collapsed="false">
      <c r="A164" s="37"/>
      <c r="B164" s="38"/>
      <c r="C164" s="38"/>
      <c r="D164" s="38"/>
      <c r="E164" s="38"/>
      <c r="F164" s="39"/>
      <c r="G164" s="38"/>
      <c r="H164" s="38"/>
      <c r="I164" s="37"/>
      <c r="J164" s="38"/>
      <c r="K164" s="38"/>
      <c r="L164" s="38"/>
      <c r="M164" s="38"/>
      <c r="N164" s="39"/>
      <c r="O164" s="39"/>
      <c r="P164" s="38"/>
      <c r="Q164" s="38"/>
      <c r="R164" s="38"/>
      <c r="S164" s="39"/>
      <c r="T164" s="39"/>
      <c r="U164" s="38"/>
      <c r="V164" s="38"/>
      <c r="W164" s="37"/>
      <c r="X164" s="38"/>
      <c r="Y164" s="38"/>
      <c r="Z164" s="37"/>
      <c r="AA164" s="38"/>
      <c r="AB164" s="38"/>
      <c r="AC164" s="40"/>
      <c r="AD164" s="41"/>
      <c r="AE164" s="42" t="str">
        <f aca="false">IF(OR(A164="",NOT(ISNUMBER(AC164)),NOT(ISNUMBER(AD164))),"",IF(AD164&gt;0,AC164/AD164,""))</f>
        <v/>
      </c>
      <c r="AF164" s="42" t="str">
        <f aca="false">IF(OR(A164="",AB164=""),"",IFERROR(INDEX(Arbeitszeitmodelle!$C$5:$C$34,MATCH(AB164,Arbeitszeitmodelle!$A$5:$A$34,0)),""))</f>
        <v/>
      </c>
      <c r="AG164" s="38"/>
      <c r="AH164" s="38"/>
      <c r="AI164" s="38"/>
      <c r="AJ164" s="41"/>
      <c r="AK164" s="41"/>
      <c r="AL164" s="38"/>
      <c r="AM164" s="41"/>
      <c r="AN164" s="38"/>
      <c r="AO164" s="38"/>
      <c r="AP164" s="38"/>
      <c r="AQ164" s="38"/>
      <c r="AR164" s="41"/>
      <c r="AS164" s="40"/>
      <c r="AT164" s="39"/>
      <c r="AU164" s="41"/>
      <c r="AV164" s="43" t="str">
        <f aca="false">IF(OR(A164="",NOT(ISNUMBER(AD164))),"",P_MinUrlaubWerktage/6*AD164)</f>
        <v/>
      </c>
      <c r="AW164" s="43" t="str">
        <f aca="false">IF(A164="","",IF(M164="Ja",P_ZusatzSB*IF(ISNUMBER(AD164),AD164,5)/5,0))</f>
        <v/>
      </c>
      <c r="AX164" s="41"/>
      <c r="AY164" s="39"/>
      <c r="AZ164" s="43" t="str">
        <f aca="false">IF(OR(A164="",NOT(ISNUMBER(AU164))),"",SUM(AU164,AW164,AX164))</f>
        <v/>
      </c>
      <c r="BA164" s="38"/>
      <c r="BB164" s="44"/>
      <c r="BC164" s="44"/>
      <c r="BD164" s="45" t="str">
        <f aca="false">IF(A164="","",IF(BA164="Stundenlohn",IF(ISNUMBER(BC164),BC164,""),IF(AND(ISNUMBER(BB164),ISNUMBER(AC164)),IF(AC164&gt;0,BB164*12/(AC164*52),""),"")))</f>
        <v/>
      </c>
      <c r="BE164" s="46" t="str">
        <f aca="false">IF(OR(A164="",NOT(ISNUMBER(F164))),"",IFERROR(DATEDIF(F164,P_Stichtag,"Y"),""))</f>
        <v/>
      </c>
      <c r="BF164" s="47" t="str">
        <f aca="false">IF(OR(A164="",NOT(ISNUMBER(BE164))),"",IF(BE164&lt;18,"Ja","Nein"))</f>
        <v/>
      </c>
      <c r="BG164" s="48" t="str">
        <f aca="false">IF(A164="","",IF((IF(OR(B164="",C164="",F164="",N164="",Q164="",AB164="",AC164="",AD164="",AU164=""),"Pflichtfelder fehlen; ","")&amp;IF(AND(ISNUMBER(AC164),AC164&gt;P_MaxWoche),"Wochenstunden &gt; Prüfgrenze; ","")&amp;IF(AND(BF164="Ja",ISNUMBER(AC164),AC164&gt;P_MaxWocheJugend),"Jugendlicher &gt; 40 h/Woche; ","")&amp;IF(AND(ISNUMBER(BD164),BD164&lt;P_Mindestlohn,Q164&lt;&gt;"Auszubildende/r",Q164&lt;&gt;"Praktikant/in"),"Mindestlohn unterschritten?; ","")&amp;IF(AND(Q164="Minijob (geringfügig)",ISNUMBER(BB164),BB164&gt;P_Minijob),"Minijob-Grenze überschritten; ","")&amp;IF(AND(R164="Ja",S164=""),"Befristung ohne Enddatum; ","")&amp;IF(AND(ISNUMBER(O164),ISNUMBER(N164),O164&lt;N164),"Austritt vor Eintritt; ","")&amp;IF(AND(ISNUMBER(AU164),ISNUMBER(AV164),AU164&lt;AV164),"Urlaub unter gesetzl. Minimum; ","")&amp;IF(AND(ISNUMBER(AC164),ISNUMBER(AF164),ABS(N(AC164)-N(AF164))&gt;0.01),"Wochenstd. weichen vom Modell ab; ","")&amp;IF(AND(AI164="Ja",OR(AJ164="",AK164="")),"Kontogrenzen fehlen; ","")&amp;IF(AND(AL164="Mit Gehalt abgegolten (Pauschale)",AM164=""),"Überstunden-Pauschale fehlt; ",""))="","OK",IF(OR(B164="",C164="",F164="",N164="",Q164="",AB164="",AC164="",AD164="",AU164=""),"Pflichtfelder fehlen; ","")&amp;IF(AND(ISNUMBER(AC164),AC164&gt;P_MaxWoche),"Wochenstunden &gt; Prüfgrenze; ","")&amp;IF(AND(BF164="Ja",ISNUMBER(AC164),AC164&gt;P_MaxWocheJugend),"Jugendlicher &gt; 40 h/Woche; ","")&amp;IF(AND(ISNUMBER(BD164),BD164&lt;P_Mindestlohn,Q164&lt;&gt;"Auszubildende/r",Q164&lt;&gt;"Praktikant/in"),"Mindestlohn unterschritten?; ","")&amp;IF(AND(Q164="Minijob (geringfügig)",ISNUMBER(BB164),BB164&gt;P_Minijob),"Minijob-Grenze überschritten; ","")&amp;IF(AND(R164="Ja",S164=""),"Befristung ohne Enddatum; ","")&amp;IF(AND(ISNUMBER(O164),ISNUMBER(N164),O164&lt;N164),"Austritt vor Eintritt; ","")&amp;IF(AND(ISNUMBER(AU164),ISNUMBER(AV164),AU164&lt;AV164),"Urlaub unter gesetzl. Minimum; ","")&amp;IF(AND(ISNUMBER(AC164),ISNUMBER(AF164),ABS(N(AC164)-N(AF164))&gt;0.01),"Wochenstd. weichen vom Modell ab; ","")&amp;IF(AND(AI164="Ja",OR(AJ164="",AK164="")),"Kontogrenzen fehlen; ","")&amp;IF(AND(AL164="Mit Gehalt abgegolten (Pauschale)",AM164=""),"Überstunden-Pauschale fehlt; ","")))</f>
        <v/>
      </c>
      <c r="BH164" s="38"/>
    </row>
    <row r="165" customFormat="false" ht="15" hidden="false" customHeight="false" outlineLevel="0" collapsed="false">
      <c r="A165" s="37"/>
      <c r="B165" s="38"/>
      <c r="C165" s="38"/>
      <c r="D165" s="38"/>
      <c r="E165" s="38"/>
      <c r="F165" s="39"/>
      <c r="G165" s="38"/>
      <c r="H165" s="38"/>
      <c r="I165" s="37"/>
      <c r="J165" s="38"/>
      <c r="K165" s="38"/>
      <c r="L165" s="38"/>
      <c r="M165" s="38"/>
      <c r="N165" s="39"/>
      <c r="O165" s="39"/>
      <c r="P165" s="38"/>
      <c r="Q165" s="38"/>
      <c r="R165" s="38"/>
      <c r="S165" s="39"/>
      <c r="T165" s="39"/>
      <c r="U165" s="38"/>
      <c r="V165" s="38"/>
      <c r="W165" s="37"/>
      <c r="X165" s="38"/>
      <c r="Y165" s="38"/>
      <c r="Z165" s="37"/>
      <c r="AA165" s="38"/>
      <c r="AB165" s="38"/>
      <c r="AC165" s="40"/>
      <c r="AD165" s="41"/>
      <c r="AE165" s="42" t="str">
        <f aca="false">IF(OR(A165="",NOT(ISNUMBER(AC165)),NOT(ISNUMBER(AD165))),"",IF(AD165&gt;0,AC165/AD165,""))</f>
        <v/>
      </c>
      <c r="AF165" s="42" t="str">
        <f aca="false">IF(OR(A165="",AB165=""),"",IFERROR(INDEX(Arbeitszeitmodelle!$C$5:$C$34,MATCH(AB165,Arbeitszeitmodelle!$A$5:$A$34,0)),""))</f>
        <v/>
      </c>
      <c r="AG165" s="38"/>
      <c r="AH165" s="38"/>
      <c r="AI165" s="38"/>
      <c r="AJ165" s="41"/>
      <c r="AK165" s="41"/>
      <c r="AL165" s="38"/>
      <c r="AM165" s="41"/>
      <c r="AN165" s="38"/>
      <c r="AO165" s="38"/>
      <c r="AP165" s="38"/>
      <c r="AQ165" s="38"/>
      <c r="AR165" s="41"/>
      <c r="AS165" s="40"/>
      <c r="AT165" s="39"/>
      <c r="AU165" s="41"/>
      <c r="AV165" s="43" t="str">
        <f aca="false">IF(OR(A165="",NOT(ISNUMBER(AD165))),"",P_MinUrlaubWerktage/6*AD165)</f>
        <v/>
      </c>
      <c r="AW165" s="43" t="str">
        <f aca="false">IF(A165="","",IF(M165="Ja",P_ZusatzSB*IF(ISNUMBER(AD165),AD165,5)/5,0))</f>
        <v/>
      </c>
      <c r="AX165" s="41"/>
      <c r="AY165" s="39"/>
      <c r="AZ165" s="43" t="str">
        <f aca="false">IF(OR(A165="",NOT(ISNUMBER(AU165))),"",SUM(AU165,AW165,AX165))</f>
        <v/>
      </c>
      <c r="BA165" s="38"/>
      <c r="BB165" s="44"/>
      <c r="BC165" s="44"/>
      <c r="BD165" s="45" t="str">
        <f aca="false">IF(A165="","",IF(BA165="Stundenlohn",IF(ISNUMBER(BC165),BC165,""),IF(AND(ISNUMBER(BB165),ISNUMBER(AC165)),IF(AC165&gt;0,BB165*12/(AC165*52),""),"")))</f>
        <v/>
      </c>
      <c r="BE165" s="46" t="str">
        <f aca="false">IF(OR(A165="",NOT(ISNUMBER(F165))),"",IFERROR(DATEDIF(F165,P_Stichtag,"Y"),""))</f>
        <v/>
      </c>
      <c r="BF165" s="47" t="str">
        <f aca="false">IF(OR(A165="",NOT(ISNUMBER(BE165))),"",IF(BE165&lt;18,"Ja","Nein"))</f>
        <v/>
      </c>
      <c r="BG165" s="48" t="str">
        <f aca="false">IF(A165="","",IF((IF(OR(B165="",C165="",F165="",N165="",Q165="",AB165="",AC165="",AD165="",AU165=""),"Pflichtfelder fehlen; ","")&amp;IF(AND(ISNUMBER(AC165),AC165&gt;P_MaxWoche),"Wochenstunden &gt; Prüfgrenze; ","")&amp;IF(AND(BF165="Ja",ISNUMBER(AC165),AC165&gt;P_MaxWocheJugend),"Jugendlicher &gt; 40 h/Woche; ","")&amp;IF(AND(ISNUMBER(BD165),BD165&lt;P_Mindestlohn,Q165&lt;&gt;"Auszubildende/r",Q165&lt;&gt;"Praktikant/in"),"Mindestlohn unterschritten?; ","")&amp;IF(AND(Q165="Minijob (geringfügig)",ISNUMBER(BB165),BB165&gt;P_Minijob),"Minijob-Grenze überschritten; ","")&amp;IF(AND(R165="Ja",S165=""),"Befristung ohne Enddatum; ","")&amp;IF(AND(ISNUMBER(O165),ISNUMBER(N165),O165&lt;N165),"Austritt vor Eintritt; ","")&amp;IF(AND(ISNUMBER(AU165),ISNUMBER(AV165),AU165&lt;AV165),"Urlaub unter gesetzl. Minimum; ","")&amp;IF(AND(ISNUMBER(AC165),ISNUMBER(AF165),ABS(N(AC165)-N(AF165))&gt;0.01),"Wochenstd. weichen vom Modell ab; ","")&amp;IF(AND(AI165="Ja",OR(AJ165="",AK165="")),"Kontogrenzen fehlen; ","")&amp;IF(AND(AL165="Mit Gehalt abgegolten (Pauschale)",AM165=""),"Überstunden-Pauschale fehlt; ",""))="","OK",IF(OR(B165="",C165="",F165="",N165="",Q165="",AB165="",AC165="",AD165="",AU165=""),"Pflichtfelder fehlen; ","")&amp;IF(AND(ISNUMBER(AC165),AC165&gt;P_MaxWoche),"Wochenstunden &gt; Prüfgrenze; ","")&amp;IF(AND(BF165="Ja",ISNUMBER(AC165),AC165&gt;P_MaxWocheJugend),"Jugendlicher &gt; 40 h/Woche; ","")&amp;IF(AND(ISNUMBER(BD165),BD165&lt;P_Mindestlohn,Q165&lt;&gt;"Auszubildende/r",Q165&lt;&gt;"Praktikant/in"),"Mindestlohn unterschritten?; ","")&amp;IF(AND(Q165="Minijob (geringfügig)",ISNUMBER(BB165),BB165&gt;P_Minijob),"Minijob-Grenze überschritten; ","")&amp;IF(AND(R165="Ja",S165=""),"Befristung ohne Enddatum; ","")&amp;IF(AND(ISNUMBER(O165),ISNUMBER(N165),O165&lt;N165),"Austritt vor Eintritt; ","")&amp;IF(AND(ISNUMBER(AU165),ISNUMBER(AV165),AU165&lt;AV165),"Urlaub unter gesetzl. Minimum; ","")&amp;IF(AND(ISNUMBER(AC165),ISNUMBER(AF165),ABS(N(AC165)-N(AF165))&gt;0.01),"Wochenstd. weichen vom Modell ab; ","")&amp;IF(AND(AI165="Ja",OR(AJ165="",AK165="")),"Kontogrenzen fehlen; ","")&amp;IF(AND(AL165="Mit Gehalt abgegolten (Pauschale)",AM165=""),"Überstunden-Pauschale fehlt; ","")))</f>
        <v/>
      </c>
      <c r="BH165" s="38"/>
    </row>
    <row r="166" customFormat="false" ht="15" hidden="false" customHeight="false" outlineLevel="0" collapsed="false">
      <c r="A166" s="37"/>
      <c r="B166" s="38"/>
      <c r="C166" s="38"/>
      <c r="D166" s="38"/>
      <c r="E166" s="38"/>
      <c r="F166" s="39"/>
      <c r="G166" s="38"/>
      <c r="H166" s="38"/>
      <c r="I166" s="37"/>
      <c r="J166" s="38"/>
      <c r="K166" s="38"/>
      <c r="L166" s="38"/>
      <c r="M166" s="38"/>
      <c r="N166" s="39"/>
      <c r="O166" s="39"/>
      <c r="P166" s="38"/>
      <c r="Q166" s="38"/>
      <c r="R166" s="38"/>
      <c r="S166" s="39"/>
      <c r="T166" s="39"/>
      <c r="U166" s="38"/>
      <c r="V166" s="38"/>
      <c r="W166" s="37"/>
      <c r="X166" s="38"/>
      <c r="Y166" s="38"/>
      <c r="Z166" s="37"/>
      <c r="AA166" s="38"/>
      <c r="AB166" s="38"/>
      <c r="AC166" s="40"/>
      <c r="AD166" s="41"/>
      <c r="AE166" s="42" t="str">
        <f aca="false">IF(OR(A166="",NOT(ISNUMBER(AC166)),NOT(ISNUMBER(AD166))),"",IF(AD166&gt;0,AC166/AD166,""))</f>
        <v/>
      </c>
      <c r="AF166" s="42" t="str">
        <f aca="false">IF(OR(A166="",AB166=""),"",IFERROR(INDEX(Arbeitszeitmodelle!$C$5:$C$34,MATCH(AB166,Arbeitszeitmodelle!$A$5:$A$34,0)),""))</f>
        <v/>
      </c>
      <c r="AG166" s="38"/>
      <c r="AH166" s="38"/>
      <c r="AI166" s="38"/>
      <c r="AJ166" s="41"/>
      <c r="AK166" s="41"/>
      <c r="AL166" s="38"/>
      <c r="AM166" s="41"/>
      <c r="AN166" s="38"/>
      <c r="AO166" s="38"/>
      <c r="AP166" s="38"/>
      <c r="AQ166" s="38"/>
      <c r="AR166" s="41"/>
      <c r="AS166" s="40"/>
      <c r="AT166" s="39"/>
      <c r="AU166" s="41"/>
      <c r="AV166" s="43" t="str">
        <f aca="false">IF(OR(A166="",NOT(ISNUMBER(AD166))),"",P_MinUrlaubWerktage/6*AD166)</f>
        <v/>
      </c>
      <c r="AW166" s="43" t="str">
        <f aca="false">IF(A166="","",IF(M166="Ja",P_ZusatzSB*IF(ISNUMBER(AD166),AD166,5)/5,0))</f>
        <v/>
      </c>
      <c r="AX166" s="41"/>
      <c r="AY166" s="39"/>
      <c r="AZ166" s="43" t="str">
        <f aca="false">IF(OR(A166="",NOT(ISNUMBER(AU166))),"",SUM(AU166,AW166,AX166))</f>
        <v/>
      </c>
      <c r="BA166" s="38"/>
      <c r="BB166" s="44"/>
      <c r="BC166" s="44"/>
      <c r="BD166" s="45" t="str">
        <f aca="false">IF(A166="","",IF(BA166="Stundenlohn",IF(ISNUMBER(BC166),BC166,""),IF(AND(ISNUMBER(BB166),ISNUMBER(AC166)),IF(AC166&gt;0,BB166*12/(AC166*52),""),"")))</f>
        <v/>
      </c>
      <c r="BE166" s="46" t="str">
        <f aca="false">IF(OR(A166="",NOT(ISNUMBER(F166))),"",IFERROR(DATEDIF(F166,P_Stichtag,"Y"),""))</f>
        <v/>
      </c>
      <c r="BF166" s="47" t="str">
        <f aca="false">IF(OR(A166="",NOT(ISNUMBER(BE166))),"",IF(BE166&lt;18,"Ja","Nein"))</f>
        <v/>
      </c>
      <c r="BG166" s="48" t="str">
        <f aca="false">IF(A166="","",IF((IF(OR(B166="",C166="",F166="",N166="",Q166="",AB166="",AC166="",AD166="",AU166=""),"Pflichtfelder fehlen; ","")&amp;IF(AND(ISNUMBER(AC166),AC166&gt;P_MaxWoche),"Wochenstunden &gt; Prüfgrenze; ","")&amp;IF(AND(BF166="Ja",ISNUMBER(AC166),AC166&gt;P_MaxWocheJugend),"Jugendlicher &gt; 40 h/Woche; ","")&amp;IF(AND(ISNUMBER(BD166),BD166&lt;P_Mindestlohn,Q166&lt;&gt;"Auszubildende/r",Q166&lt;&gt;"Praktikant/in"),"Mindestlohn unterschritten?; ","")&amp;IF(AND(Q166="Minijob (geringfügig)",ISNUMBER(BB166),BB166&gt;P_Minijob),"Minijob-Grenze überschritten; ","")&amp;IF(AND(R166="Ja",S166=""),"Befristung ohne Enddatum; ","")&amp;IF(AND(ISNUMBER(O166),ISNUMBER(N166),O166&lt;N166),"Austritt vor Eintritt; ","")&amp;IF(AND(ISNUMBER(AU166),ISNUMBER(AV166),AU166&lt;AV166),"Urlaub unter gesetzl. Minimum; ","")&amp;IF(AND(ISNUMBER(AC166),ISNUMBER(AF166),ABS(N(AC166)-N(AF166))&gt;0.01),"Wochenstd. weichen vom Modell ab; ","")&amp;IF(AND(AI166="Ja",OR(AJ166="",AK166="")),"Kontogrenzen fehlen; ","")&amp;IF(AND(AL166="Mit Gehalt abgegolten (Pauschale)",AM166=""),"Überstunden-Pauschale fehlt; ",""))="","OK",IF(OR(B166="",C166="",F166="",N166="",Q166="",AB166="",AC166="",AD166="",AU166=""),"Pflichtfelder fehlen; ","")&amp;IF(AND(ISNUMBER(AC166),AC166&gt;P_MaxWoche),"Wochenstunden &gt; Prüfgrenze; ","")&amp;IF(AND(BF166="Ja",ISNUMBER(AC166),AC166&gt;P_MaxWocheJugend),"Jugendlicher &gt; 40 h/Woche; ","")&amp;IF(AND(ISNUMBER(BD166),BD166&lt;P_Mindestlohn,Q166&lt;&gt;"Auszubildende/r",Q166&lt;&gt;"Praktikant/in"),"Mindestlohn unterschritten?; ","")&amp;IF(AND(Q166="Minijob (geringfügig)",ISNUMBER(BB166),BB166&gt;P_Minijob),"Minijob-Grenze überschritten; ","")&amp;IF(AND(R166="Ja",S166=""),"Befristung ohne Enddatum; ","")&amp;IF(AND(ISNUMBER(O166),ISNUMBER(N166),O166&lt;N166),"Austritt vor Eintritt; ","")&amp;IF(AND(ISNUMBER(AU166),ISNUMBER(AV166),AU166&lt;AV166),"Urlaub unter gesetzl. Minimum; ","")&amp;IF(AND(ISNUMBER(AC166),ISNUMBER(AF166),ABS(N(AC166)-N(AF166))&gt;0.01),"Wochenstd. weichen vom Modell ab; ","")&amp;IF(AND(AI166="Ja",OR(AJ166="",AK166="")),"Kontogrenzen fehlen; ","")&amp;IF(AND(AL166="Mit Gehalt abgegolten (Pauschale)",AM166=""),"Überstunden-Pauschale fehlt; ","")))</f>
        <v/>
      </c>
      <c r="BH166" s="38"/>
    </row>
    <row r="167" customFormat="false" ht="15" hidden="false" customHeight="false" outlineLevel="0" collapsed="false">
      <c r="A167" s="37"/>
      <c r="B167" s="38"/>
      <c r="C167" s="38"/>
      <c r="D167" s="38"/>
      <c r="E167" s="38"/>
      <c r="F167" s="39"/>
      <c r="G167" s="38"/>
      <c r="H167" s="38"/>
      <c r="I167" s="37"/>
      <c r="J167" s="38"/>
      <c r="K167" s="38"/>
      <c r="L167" s="38"/>
      <c r="M167" s="38"/>
      <c r="N167" s="39"/>
      <c r="O167" s="39"/>
      <c r="P167" s="38"/>
      <c r="Q167" s="38"/>
      <c r="R167" s="38"/>
      <c r="S167" s="39"/>
      <c r="T167" s="39"/>
      <c r="U167" s="38"/>
      <c r="V167" s="38"/>
      <c r="W167" s="37"/>
      <c r="X167" s="38"/>
      <c r="Y167" s="38"/>
      <c r="Z167" s="37"/>
      <c r="AA167" s="38"/>
      <c r="AB167" s="38"/>
      <c r="AC167" s="40"/>
      <c r="AD167" s="41"/>
      <c r="AE167" s="42" t="str">
        <f aca="false">IF(OR(A167="",NOT(ISNUMBER(AC167)),NOT(ISNUMBER(AD167))),"",IF(AD167&gt;0,AC167/AD167,""))</f>
        <v/>
      </c>
      <c r="AF167" s="42" t="str">
        <f aca="false">IF(OR(A167="",AB167=""),"",IFERROR(INDEX(Arbeitszeitmodelle!$C$5:$C$34,MATCH(AB167,Arbeitszeitmodelle!$A$5:$A$34,0)),""))</f>
        <v/>
      </c>
      <c r="AG167" s="38"/>
      <c r="AH167" s="38"/>
      <c r="AI167" s="38"/>
      <c r="AJ167" s="41"/>
      <c r="AK167" s="41"/>
      <c r="AL167" s="38"/>
      <c r="AM167" s="41"/>
      <c r="AN167" s="38"/>
      <c r="AO167" s="38"/>
      <c r="AP167" s="38"/>
      <c r="AQ167" s="38"/>
      <c r="AR167" s="41"/>
      <c r="AS167" s="40"/>
      <c r="AT167" s="39"/>
      <c r="AU167" s="41"/>
      <c r="AV167" s="43" t="str">
        <f aca="false">IF(OR(A167="",NOT(ISNUMBER(AD167))),"",P_MinUrlaubWerktage/6*AD167)</f>
        <v/>
      </c>
      <c r="AW167" s="43" t="str">
        <f aca="false">IF(A167="","",IF(M167="Ja",P_ZusatzSB*IF(ISNUMBER(AD167),AD167,5)/5,0))</f>
        <v/>
      </c>
      <c r="AX167" s="41"/>
      <c r="AY167" s="39"/>
      <c r="AZ167" s="43" t="str">
        <f aca="false">IF(OR(A167="",NOT(ISNUMBER(AU167))),"",SUM(AU167,AW167,AX167))</f>
        <v/>
      </c>
      <c r="BA167" s="38"/>
      <c r="BB167" s="44"/>
      <c r="BC167" s="44"/>
      <c r="BD167" s="45" t="str">
        <f aca="false">IF(A167="","",IF(BA167="Stundenlohn",IF(ISNUMBER(BC167),BC167,""),IF(AND(ISNUMBER(BB167),ISNUMBER(AC167)),IF(AC167&gt;0,BB167*12/(AC167*52),""),"")))</f>
        <v/>
      </c>
      <c r="BE167" s="46" t="str">
        <f aca="false">IF(OR(A167="",NOT(ISNUMBER(F167))),"",IFERROR(DATEDIF(F167,P_Stichtag,"Y"),""))</f>
        <v/>
      </c>
      <c r="BF167" s="47" t="str">
        <f aca="false">IF(OR(A167="",NOT(ISNUMBER(BE167))),"",IF(BE167&lt;18,"Ja","Nein"))</f>
        <v/>
      </c>
      <c r="BG167" s="48" t="str">
        <f aca="false">IF(A167="","",IF((IF(OR(B167="",C167="",F167="",N167="",Q167="",AB167="",AC167="",AD167="",AU167=""),"Pflichtfelder fehlen; ","")&amp;IF(AND(ISNUMBER(AC167),AC167&gt;P_MaxWoche),"Wochenstunden &gt; Prüfgrenze; ","")&amp;IF(AND(BF167="Ja",ISNUMBER(AC167),AC167&gt;P_MaxWocheJugend),"Jugendlicher &gt; 40 h/Woche; ","")&amp;IF(AND(ISNUMBER(BD167),BD167&lt;P_Mindestlohn,Q167&lt;&gt;"Auszubildende/r",Q167&lt;&gt;"Praktikant/in"),"Mindestlohn unterschritten?; ","")&amp;IF(AND(Q167="Minijob (geringfügig)",ISNUMBER(BB167),BB167&gt;P_Minijob),"Minijob-Grenze überschritten; ","")&amp;IF(AND(R167="Ja",S167=""),"Befristung ohne Enddatum; ","")&amp;IF(AND(ISNUMBER(O167),ISNUMBER(N167),O167&lt;N167),"Austritt vor Eintritt; ","")&amp;IF(AND(ISNUMBER(AU167),ISNUMBER(AV167),AU167&lt;AV167),"Urlaub unter gesetzl. Minimum; ","")&amp;IF(AND(ISNUMBER(AC167),ISNUMBER(AF167),ABS(N(AC167)-N(AF167))&gt;0.01),"Wochenstd. weichen vom Modell ab; ","")&amp;IF(AND(AI167="Ja",OR(AJ167="",AK167="")),"Kontogrenzen fehlen; ","")&amp;IF(AND(AL167="Mit Gehalt abgegolten (Pauschale)",AM167=""),"Überstunden-Pauschale fehlt; ",""))="","OK",IF(OR(B167="",C167="",F167="",N167="",Q167="",AB167="",AC167="",AD167="",AU167=""),"Pflichtfelder fehlen; ","")&amp;IF(AND(ISNUMBER(AC167),AC167&gt;P_MaxWoche),"Wochenstunden &gt; Prüfgrenze; ","")&amp;IF(AND(BF167="Ja",ISNUMBER(AC167),AC167&gt;P_MaxWocheJugend),"Jugendlicher &gt; 40 h/Woche; ","")&amp;IF(AND(ISNUMBER(BD167),BD167&lt;P_Mindestlohn,Q167&lt;&gt;"Auszubildende/r",Q167&lt;&gt;"Praktikant/in"),"Mindestlohn unterschritten?; ","")&amp;IF(AND(Q167="Minijob (geringfügig)",ISNUMBER(BB167),BB167&gt;P_Minijob),"Minijob-Grenze überschritten; ","")&amp;IF(AND(R167="Ja",S167=""),"Befristung ohne Enddatum; ","")&amp;IF(AND(ISNUMBER(O167),ISNUMBER(N167),O167&lt;N167),"Austritt vor Eintritt; ","")&amp;IF(AND(ISNUMBER(AU167),ISNUMBER(AV167),AU167&lt;AV167),"Urlaub unter gesetzl. Minimum; ","")&amp;IF(AND(ISNUMBER(AC167),ISNUMBER(AF167),ABS(N(AC167)-N(AF167))&gt;0.01),"Wochenstd. weichen vom Modell ab; ","")&amp;IF(AND(AI167="Ja",OR(AJ167="",AK167="")),"Kontogrenzen fehlen; ","")&amp;IF(AND(AL167="Mit Gehalt abgegolten (Pauschale)",AM167=""),"Überstunden-Pauschale fehlt; ","")))</f>
        <v/>
      </c>
      <c r="BH167" s="38"/>
    </row>
    <row r="168" customFormat="false" ht="15" hidden="false" customHeight="false" outlineLevel="0" collapsed="false">
      <c r="A168" s="37"/>
      <c r="B168" s="38"/>
      <c r="C168" s="38"/>
      <c r="D168" s="38"/>
      <c r="E168" s="38"/>
      <c r="F168" s="39"/>
      <c r="G168" s="38"/>
      <c r="H168" s="38"/>
      <c r="I168" s="37"/>
      <c r="J168" s="38"/>
      <c r="K168" s="38"/>
      <c r="L168" s="38"/>
      <c r="M168" s="38"/>
      <c r="N168" s="39"/>
      <c r="O168" s="39"/>
      <c r="P168" s="38"/>
      <c r="Q168" s="38"/>
      <c r="R168" s="38"/>
      <c r="S168" s="39"/>
      <c r="T168" s="39"/>
      <c r="U168" s="38"/>
      <c r="V168" s="38"/>
      <c r="W168" s="37"/>
      <c r="X168" s="38"/>
      <c r="Y168" s="38"/>
      <c r="Z168" s="37"/>
      <c r="AA168" s="38"/>
      <c r="AB168" s="38"/>
      <c r="AC168" s="40"/>
      <c r="AD168" s="41"/>
      <c r="AE168" s="42" t="str">
        <f aca="false">IF(OR(A168="",NOT(ISNUMBER(AC168)),NOT(ISNUMBER(AD168))),"",IF(AD168&gt;0,AC168/AD168,""))</f>
        <v/>
      </c>
      <c r="AF168" s="42" t="str">
        <f aca="false">IF(OR(A168="",AB168=""),"",IFERROR(INDEX(Arbeitszeitmodelle!$C$5:$C$34,MATCH(AB168,Arbeitszeitmodelle!$A$5:$A$34,0)),""))</f>
        <v/>
      </c>
      <c r="AG168" s="38"/>
      <c r="AH168" s="38"/>
      <c r="AI168" s="38"/>
      <c r="AJ168" s="41"/>
      <c r="AK168" s="41"/>
      <c r="AL168" s="38"/>
      <c r="AM168" s="41"/>
      <c r="AN168" s="38"/>
      <c r="AO168" s="38"/>
      <c r="AP168" s="38"/>
      <c r="AQ168" s="38"/>
      <c r="AR168" s="41"/>
      <c r="AS168" s="40"/>
      <c r="AT168" s="39"/>
      <c r="AU168" s="41"/>
      <c r="AV168" s="43" t="str">
        <f aca="false">IF(OR(A168="",NOT(ISNUMBER(AD168))),"",P_MinUrlaubWerktage/6*AD168)</f>
        <v/>
      </c>
      <c r="AW168" s="43" t="str">
        <f aca="false">IF(A168="","",IF(M168="Ja",P_ZusatzSB*IF(ISNUMBER(AD168),AD168,5)/5,0))</f>
        <v/>
      </c>
      <c r="AX168" s="41"/>
      <c r="AY168" s="39"/>
      <c r="AZ168" s="43" t="str">
        <f aca="false">IF(OR(A168="",NOT(ISNUMBER(AU168))),"",SUM(AU168,AW168,AX168))</f>
        <v/>
      </c>
      <c r="BA168" s="38"/>
      <c r="BB168" s="44"/>
      <c r="BC168" s="44"/>
      <c r="BD168" s="45" t="str">
        <f aca="false">IF(A168="","",IF(BA168="Stundenlohn",IF(ISNUMBER(BC168),BC168,""),IF(AND(ISNUMBER(BB168),ISNUMBER(AC168)),IF(AC168&gt;0,BB168*12/(AC168*52),""),"")))</f>
        <v/>
      </c>
      <c r="BE168" s="46" t="str">
        <f aca="false">IF(OR(A168="",NOT(ISNUMBER(F168))),"",IFERROR(DATEDIF(F168,P_Stichtag,"Y"),""))</f>
        <v/>
      </c>
      <c r="BF168" s="47" t="str">
        <f aca="false">IF(OR(A168="",NOT(ISNUMBER(BE168))),"",IF(BE168&lt;18,"Ja","Nein"))</f>
        <v/>
      </c>
      <c r="BG168" s="48" t="str">
        <f aca="false">IF(A168="","",IF((IF(OR(B168="",C168="",F168="",N168="",Q168="",AB168="",AC168="",AD168="",AU168=""),"Pflichtfelder fehlen; ","")&amp;IF(AND(ISNUMBER(AC168),AC168&gt;P_MaxWoche),"Wochenstunden &gt; Prüfgrenze; ","")&amp;IF(AND(BF168="Ja",ISNUMBER(AC168),AC168&gt;P_MaxWocheJugend),"Jugendlicher &gt; 40 h/Woche; ","")&amp;IF(AND(ISNUMBER(BD168),BD168&lt;P_Mindestlohn,Q168&lt;&gt;"Auszubildende/r",Q168&lt;&gt;"Praktikant/in"),"Mindestlohn unterschritten?; ","")&amp;IF(AND(Q168="Minijob (geringfügig)",ISNUMBER(BB168),BB168&gt;P_Minijob),"Minijob-Grenze überschritten; ","")&amp;IF(AND(R168="Ja",S168=""),"Befristung ohne Enddatum; ","")&amp;IF(AND(ISNUMBER(O168),ISNUMBER(N168),O168&lt;N168),"Austritt vor Eintritt; ","")&amp;IF(AND(ISNUMBER(AU168),ISNUMBER(AV168),AU168&lt;AV168),"Urlaub unter gesetzl. Minimum; ","")&amp;IF(AND(ISNUMBER(AC168),ISNUMBER(AF168),ABS(N(AC168)-N(AF168))&gt;0.01),"Wochenstd. weichen vom Modell ab; ","")&amp;IF(AND(AI168="Ja",OR(AJ168="",AK168="")),"Kontogrenzen fehlen; ","")&amp;IF(AND(AL168="Mit Gehalt abgegolten (Pauschale)",AM168=""),"Überstunden-Pauschale fehlt; ",""))="","OK",IF(OR(B168="",C168="",F168="",N168="",Q168="",AB168="",AC168="",AD168="",AU168=""),"Pflichtfelder fehlen; ","")&amp;IF(AND(ISNUMBER(AC168),AC168&gt;P_MaxWoche),"Wochenstunden &gt; Prüfgrenze; ","")&amp;IF(AND(BF168="Ja",ISNUMBER(AC168),AC168&gt;P_MaxWocheJugend),"Jugendlicher &gt; 40 h/Woche; ","")&amp;IF(AND(ISNUMBER(BD168),BD168&lt;P_Mindestlohn,Q168&lt;&gt;"Auszubildende/r",Q168&lt;&gt;"Praktikant/in"),"Mindestlohn unterschritten?; ","")&amp;IF(AND(Q168="Minijob (geringfügig)",ISNUMBER(BB168),BB168&gt;P_Minijob),"Minijob-Grenze überschritten; ","")&amp;IF(AND(R168="Ja",S168=""),"Befristung ohne Enddatum; ","")&amp;IF(AND(ISNUMBER(O168),ISNUMBER(N168),O168&lt;N168),"Austritt vor Eintritt; ","")&amp;IF(AND(ISNUMBER(AU168),ISNUMBER(AV168),AU168&lt;AV168),"Urlaub unter gesetzl. Minimum; ","")&amp;IF(AND(ISNUMBER(AC168),ISNUMBER(AF168),ABS(N(AC168)-N(AF168))&gt;0.01),"Wochenstd. weichen vom Modell ab; ","")&amp;IF(AND(AI168="Ja",OR(AJ168="",AK168="")),"Kontogrenzen fehlen; ","")&amp;IF(AND(AL168="Mit Gehalt abgegolten (Pauschale)",AM168=""),"Überstunden-Pauschale fehlt; ","")))</f>
        <v/>
      </c>
      <c r="BH168" s="38"/>
    </row>
    <row r="169" customFormat="false" ht="15" hidden="false" customHeight="false" outlineLevel="0" collapsed="false">
      <c r="A169" s="37"/>
      <c r="B169" s="38"/>
      <c r="C169" s="38"/>
      <c r="D169" s="38"/>
      <c r="E169" s="38"/>
      <c r="F169" s="39"/>
      <c r="G169" s="38"/>
      <c r="H169" s="38"/>
      <c r="I169" s="37"/>
      <c r="J169" s="38"/>
      <c r="K169" s="38"/>
      <c r="L169" s="38"/>
      <c r="M169" s="38"/>
      <c r="N169" s="39"/>
      <c r="O169" s="39"/>
      <c r="P169" s="38"/>
      <c r="Q169" s="38"/>
      <c r="R169" s="38"/>
      <c r="S169" s="39"/>
      <c r="T169" s="39"/>
      <c r="U169" s="38"/>
      <c r="V169" s="38"/>
      <c r="W169" s="37"/>
      <c r="X169" s="38"/>
      <c r="Y169" s="38"/>
      <c r="Z169" s="37"/>
      <c r="AA169" s="38"/>
      <c r="AB169" s="38"/>
      <c r="AC169" s="40"/>
      <c r="AD169" s="41"/>
      <c r="AE169" s="42" t="str">
        <f aca="false">IF(OR(A169="",NOT(ISNUMBER(AC169)),NOT(ISNUMBER(AD169))),"",IF(AD169&gt;0,AC169/AD169,""))</f>
        <v/>
      </c>
      <c r="AF169" s="42" t="str">
        <f aca="false">IF(OR(A169="",AB169=""),"",IFERROR(INDEX(Arbeitszeitmodelle!$C$5:$C$34,MATCH(AB169,Arbeitszeitmodelle!$A$5:$A$34,0)),""))</f>
        <v/>
      </c>
      <c r="AG169" s="38"/>
      <c r="AH169" s="38"/>
      <c r="AI169" s="38"/>
      <c r="AJ169" s="41"/>
      <c r="AK169" s="41"/>
      <c r="AL169" s="38"/>
      <c r="AM169" s="41"/>
      <c r="AN169" s="38"/>
      <c r="AO169" s="38"/>
      <c r="AP169" s="38"/>
      <c r="AQ169" s="38"/>
      <c r="AR169" s="41"/>
      <c r="AS169" s="40"/>
      <c r="AT169" s="39"/>
      <c r="AU169" s="41"/>
      <c r="AV169" s="43" t="str">
        <f aca="false">IF(OR(A169="",NOT(ISNUMBER(AD169))),"",P_MinUrlaubWerktage/6*AD169)</f>
        <v/>
      </c>
      <c r="AW169" s="43" t="str">
        <f aca="false">IF(A169="","",IF(M169="Ja",P_ZusatzSB*IF(ISNUMBER(AD169),AD169,5)/5,0))</f>
        <v/>
      </c>
      <c r="AX169" s="41"/>
      <c r="AY169" s="39"/>
      <c r="AZ169" s="43" t="str">
        <f aca="false">IF(OR(A169="",NOT(ISNUMBER(AU169))),"",SUM(AU169,AW169,AX169))</f>
        <v/>
      </c>
      <c r="BA169" s="38"/>
      <c r="BB169" s="44"/>
      <c r="BC169" s="44"/>
      <c r="BD169" s="45" t="str">
        <f aca="false">IF(A169="","",IF(BA169="Stundenlohn",IF(ISNUMBER(BC169),BC169,""),IF(AND(ISNUMBER(BB169),ISNUMBER(AC169)),IF(AC169&gt;0,BB169*12/(AC169*52),""),"")))</f>
        <v/>
      </c>
      <c r="BE169" s="46" t="str">
        <f aca="false">IF(OR(A169="",NOT(ISNUMBER(F169))),"",IFERROR(DATEDIF(F169,P_Stichtag,"Y"),""))</f>
        <v/>
      </c>
      <c r="BF169" s="47" t="str">
        <f aca="false">IF(OR(A169="",NOT(ISNUMBER(BE169))),"",IF(BE169&lt;18,"Ja","Nein"))</f>
        <v/>
      </c>
      <c r="BG169" s="48" t="str">
        <f aca="false">IF(A169="","",IF((IF(OR(B169="",C169="",F169="",N169="",Q169="",AB169="",AC169="",AD169="",AU169=""),"Pflichtfelder fehlen; ","")&amp;IF(AND(ISNUMBER(AC169),AC169&gt;P_MaxWoche),"Wochenstunden &gt; Prüfgrenze; ","")&amp;IF(AND(BF169="Ja",ISNUMBER(AC169),AC169&gt;P_MaxWocheJugend),"Jugendlicher &gt; 40 h/Woche; ","")&amp;IF(AND(ISNUMBER(BD169),BD169&lt;P_Mindestlohn,Q169&lt;&gt;"Auszubildende/r",Q169&lt;&gt;"Praktikant/in"),"Mindestlohn unterschritten?; ","")&amp;IF(AND(Q169="Minijob (geringfügig)",ISNUMBER(BB169),BB169&gt;P_Minijob),"Minijob-Grenze überschritten; ","")&amp;IF(AND(R169="Ja",S169=""),"Befristung ohne Enddatum; ","")&amp;IF(AND(ISNUMBER(O169),ISNUMBER(N169),O169&lt;N169),"Austritt vor Eintritt; ","")&amp;IF(AND(ISNUMBER(AU169),ISNUMBER(AV169),AU169&lt;AV169),"Urlaub unter gesetzl. Minimum; ","")&amp;IF(AND(ISNUMBER(AC169),ISNUMBER(AF169),ABS(N(AC169)-N(AF169))&gt;0.01),"Wochenstd. weichen vom Modell ab; ","")&amp;IF(AND(AI169="Ja",OR(AJ169="",AK169="")),"Kontogrenzen fehlen; ","")&amp;IF(AND(AL169="Mit Gehalt abgegolten (Pauschale)",AM169=""),"Überstunden-Pauschale fehlt; ",""))="","OK",IF(OR(B169="",C169="",F169="",N169="",Q169="",AB169="",AC169="",AD169="",AU169=""),"Pflichtfelder fehlen; ","")&amp;IF(AND(ISNUMBER(AC169),AC169&gt;P_MaxWoche),"Wochenstunden &gt; Prüfgrenze; ","")&amp;IF(AND(BF169="Ja",ISNUMBER(AC169),AC169&gt;P_MaxWocheJugend),"Jugendlicher &gt; 40 h/Woche; ","")&amp;IF(AND(ISNUMBER(BD169),BD169&lt;P_Mindestlohn,Q169&lt;&gt;"Auszubildende/r",Q169&lt;&gt;"Praktikant/in"),"Mindestlohn unterschritten?; ","")&amp;IF(AND(Q169="Minijob (geringfügig)",ISNUMBER(BB169),BB169&gt;P_Minijob),"Minijob-Grenze überschritten; ","")&amp;IF(AND(R169="Ja",S169=""),"Befristung ohne Enddatum; ","")&amp;IF(AND(ISNUMBER(O169),ISNUMBER(N169),O169&lt;N169),"Austritt vor Eintritt; ","")&amp;IF(AND(ISNUMBER(AU169),ISNUMBER(AV169),AU169&lt;AV169),"Urlaub unter gesetzl. Minimum; ","")&amp;IF(AND(ISNUMBER(AC169),ISNUMBER(AF169),ABS(N(AC169)-N(AF169))&gt;0.01),"Wochenstd. weichen vom Modell ab; ","")&amp;IF(AND(AI169="Ja",OR(AJ169="",AK169="")),"Kontogrenzen fehlen; ","")&amp;IF(AND(AL169="Mit Gehalt abgegolten (Pauschale)",AM169=""),"Überstunden-Pauschale fehlt; ","")))</f>
        <v/>
      </c>
      <c r="BH169" s="38"/>
    </row>
    <row r="170" customFormat="false" ht="15" hidden="false" customHeight="false" outlineLevel="0" collapsed="false">
      <c r="A170" s="37"/>
      <c r="B170" s="38"/>
      <c r="C170" s="38"/>
      <c r="D170" s="38"/>
      <c r="E170" s="38"/>
      <c r="F170" s="39"/>
      <c r="G170" s="38"/>
      <c r="H170" s="38"/>
      <c r="I170" s="37"/>
      <c r="J170" s="38"/>
      <c r="K170" s="38"/>
      <c r="L170" s="38"/>
      <c r="M170" s="38"/>
      <c r="N170" s="39"/>
      <c r="O170" s="39"/>
      <c r="P170" s="38"/>
      <c r="Q170" s="38"/>
      <c r="R170" s="38"/>
      <c r="S170" s="39"/>
      <c r="T170" s="39"/>
      <c r="U170" s="38"/>
      <c r="V170" s="38"/>
      <c r="W170" s="37"/>
      <c r="X170" s="38"/>
      <c r="Y170" s="38"/>
      <c r="Z170" s="37"/>
      <c r="AA170" s="38"/>
      <c r="AB170" s="38"/>
      <c r="AC170" s="40"/>
      <c r="AD170" s="41"/>
      <c r="AE170" s="42" t="str">
        <f aca="false">IF(OR(A170="",NOT(ISNUMBER(AC170)),NOT(ISNUMBER(AD170))),"",IF(AD170&gt;0,AC170/AD170,""))</f>
        <v/>
      </c>
      <c r="AF170" s="42" t="str">
        <f aca="false">IF(OR(A170="",AB170=""),"",IFERROR(INDEX(Arbeitszeitmodelle!$C$5:$C$34,MATCH(AB170,Arbeitszeitmodelle!$A$5:$A$34,0)),""))</f>
        <v/>
      </c>
      <c r="AG170" s="38"/>
      <c r="AH170" s="38"/>
      <c r="AI170" s="38"/>
      <c r="AJ170" s="41"/>
      <c r="AK170" s="41"/>
      <c r="AL170" s="38"/>
      <c r="AM170" s="41"/>
      <c r="AN170" s="38"/>
      <c r="AO170" s="38"/>
      <c r="AP170" s="38"/>
      <c r="AQ170" s="38"/>
      <c r="AR170" s="41"/>
      <c r="AS170" s="40"/>
      <c r="AT170" s="39"/>
      <c r="AU170" s="41"/>
      <c r="AV170" s="43" t="str">
        <f aca="false">IF(OR(A170="",NOT(ISNUMBER(AD170))),"",P_MinUrlaubWerktage/6*AD170)</f>
        <v/>
      </c>
      <c r="AW170" s="43" t="str">
        <f aca="false">IF(A170="","",IF(M170="Ja",P_ZusatzSB*IF(ISNUMBER(AD170),AD170,5)/5,0))</f>
        <v/>
      </c>
      <c r="AX170" s="41"/>
      <c r="AY170" s="39"/>
      <c r="AZ170" s="43" t="str">
        <f aca="false">IF(OR(A170="",NOT(ISNUMBER(AU170))),"",SUM(AU170,AW170,AX170))</f>
        <v/>
      </c>
      <c r="BA170" s="38"/>
      <c r="BB170" s="44"/>
      <c r="BC170" s="44"/>
      <c r="BD170" s="45" t="str">
        <f aca="false">IF(A170="","",IF(BA170="Stundenlohn",IF(ISNUMBER(BC170),BC170,""),IF(AND(ISNUMBER(BB170),ISNUMBER(AC170)),IF(AC170&gt;0,BB170*12/(AC170*52),""),"")))</f>
        <v/>
      </c>
      <c r="BE170" s="46" t="str">
        <f aca="false">IF(OR(A170="",NOT(ISNUMBER(F170))),"",IFERROR(DATEDIF(F170,P_Stichtag,"Y"),""))</f>
        <v/>
      </c>
      <c r="BF170" s="47" t="str">
        <f aca="false">IF(OR(A170="",NOT(ISNUMBER(BE170))),"",IF(BE170&lt;18,"Ja","Nein"))</f>
        <v/>
      </c>
      <c r="BG170" s="48" t="str">
        <f aca="false">IF(A170="","",IF((IF(OR(B170="",C170="",F170="",N170="",Q170="",AB170="",AC170="",AD170="",AU170=""),"Pflichtfelder fehlen; ","")&amp;IF(AND(ISNUMBER(AC170),AC170&gt;P_MaxWoche),"Wochenstunden &gt; Prüfgrenze; ","")&amp;IF(AND(BF170="Ja",ISNUMBER(AC170),AC170&gt;P_MaxWocheJugend),"Jugendlicher &gt; 40 h/Woche; ","")&amp;IF(AND(ISNUMBER(BD170),BD170&lt;P_Mindestlohn,Q170&lt;&gt;"Auszubildende/r",Q170&lt;&gt;"Praktikant/in"),"Mindestlohn unterschritten?; ","")&amp;IF(AND(Q170="Minijob (geringfügig)",ISNUMBER(BB170),BB170&gt;P_Minijob),"Minijob-Grenze überschritten; ","")&amp;IF(AND(R170="Ja",S170=""),"Befristung ohne Enddatum; ","")&amp;IF(AND(ISNUMBER(O170),ISNUMBER(N170),O170&lt;N170),"Austritt vor Eintritt; ","")&amp;IF(AND(ISNUMBER(AU170),ISNUMBER(AV170),AU170&lt;AV170),"Urlaub unter gesetzl. Minimum; ","")&amp;IF(AND(ISNUMBER(AC170),ISNUMBER(AF170),ABS(N(AC170)-N(AF170))&gt;0.01),"Wochenstd. weichen vom Modell ab; ","")&amp;IF(AND(AI170="Ja",OR(AJ170="",AK170="")),"Kontogrenzen fehlen; ","")&amp;IF(AND(AL170="Mit Gehalt abgegolten (Pauschale)",AM170=""),"Überstunden-Pauschale fehlt; ",""))="","OK",IF(OR(B170="",C170="",F170="",N170="",Q170="",AB170="",AC170="",AD170="",AU170=""),"Pflichtfelder fehlen; ","")&amp;IF(AND(ISNUMBER(AC170),AC170&gt;P_MaxWoche),"Wochenstunden &gt; Prüfgrenze; ","")&amp;IF(AND(BF170="Ja",ISNUMBER(AC170),AC170&gt;P_MaxWocheJugend),"Jugendlicher &gt; 40 h/Woche; ","")&amp;IF(AND(ISNUMBER(BD170),BD170&lt;P_Mindestlohn,Q170&lt;&gt;"Auszubildende/r",Q170&lt;&gt;"Praktikant/in"),"Mindestlohn unterschritten?; ","")&amp;IF(AND(Q170="Minijob (geringfügig)",ISNUMBER(BB170),BB170&gt;P_Minijob),"Minijob-Grenze überschritten; ","")&amp;IF(AND(R170="Ja",S170=""),"Befristung ohne Enddatum; ","")&amp;IF(AND(ISNUMBER(O170),ISNUMBER(N170),O170&lt;N170),"Austritt vor Eintritt; ","")&amp;IF(AND(ISNUMBER(AU170),ISNUMBER(AV170),AU170&lt;AV170),"Urlaub unter gesetzl. Minimum; ","")&amp;IF(AND(ISNUMBER(AC170),ISNUMBER(AF170),ABS(N(AC170)-N(AF170))&gt;0.01),"Wochenstd. weichen vom Modell ab; ","")&amp;IF(AND(AI170="Ja",OR(AJ170="",AK170="")),"Kontogrenzen fehlen; ","")&amp;IF(AND(AL170="Mit Gehalt abgegolten (Pauschale)",AM170=""),"Überstunden-Pauschale fehlt; ","")))</f>
        <v/>
      </c>
      <c r="BH170" s="38"/>
    </row>
    <row r="171" customFormat="false" ht="15" hidden="false" customHeight="false" outlineLevel="0" collapsed="false">
      <c r="A171" s="37"/>
      <c r="B171" s="38"/>
      <c r="C171" s="38"/>
      <c r="D171" s="38"/>
      <c r="E171" s="38"/>
      <c r="F171" s="39"/>
      <c r="G171" s="38"/>
      <c r="H171" s="38"/>
      <c r="I171" s="37"/>
      <c r="J171" s="38"/>
      <c r="K171" s="38"/>
      <c r="L171" s="38"/>
      <c r="M171" s="38"/>
      <c r="N171" s="39"/>
      <c r="O171" s="39"/>
      <c r="P171" s="38"/>
      <c r="Q171" s="38"/>
      <c r="R171" s="38"/>
      <c r="S171" s="39"/>
      <c r="T171" s="39"/>
      <c r="U171" s="38"/>
      <c r="V171" s="38"/>
      <c r="W171" s="37"/>
      <c r="X171" s="38"/>
      <c r="Y171" s="38"/>
      <c r="Z171" s="37"/>
      <c r="AA171" s="38"/>
      <c r="AB171" s="38"/>
      <c r="AC171" s="40"/>
      <c r="AD171" s="41"/>
      <c r="AE171" s="42" t="str">
        <f aca="false">IF(OR(A171="",NOT(ISNUMBER(AC171)),NOT(ISNUMBER(AD171))),"",IF(AD171&gt;0,AC171/AD171,""))</f>
        <v/>
      </c>
      <c r="AF171" s="42" t="str">
        <f aca="false">IF(OR(A171="",AB171=""),"",IFERROR(INDEX(Arbeitszeitmodelle!$C$5:$C$34,MATCH(AB171,Arbeitszeitmodelle!$A$5:$A$34,0)),""))</f>
        <v/>
      </c>
      <c r="AG171" s="38"/>
      <c r="AH171" s="38"/>
      <c r="AI171" s="38"/>
      <c r="AJ171" s="41"/>
      <c r="AK171" s="41"/>
      <c r="AL171" s="38"/>
      <c r="AM171" s="41"/>
      <c r="AN171" s="38"/>
      <c r="AO171" s="38"/>
      <c r="AP171" s="38"/>
      <c r="AQ171" s="38"/>
      <c r="AR171" s="41"/>
      <c r="AS171" s="40"/>
      <c r="AT171" s="39"/>
      <c r="AU171" s="41"/>
      <c r="AV171" s="43" t="str">
        <f aca="false">IF(OR(A171="",NOT(ISNUMBER(AD171))),"",P_MinUrlaubWerktage/6*AD171)</f>
        <v/>
      </c>
      <c r="AW171" s="43" t="str">
        <f aca="false">IF(A171="","",IF(M171="Ja",P_ZusatzSB*IF(ISNUMBER(AD171),AD171,5)/5,0))</f>
        <v/>
      </c>
      <c r="AX171" s="41"/>
      <c r="AY171" s="39"/>
      <c r="AZ171" s="43" t="str">
        <f aca="false">IF(OR(A171="",NOT(ISNUMBER(AU171))),"",SUM(AU171,AW171,AX171))</f>
        <v/>
      </c>
      <c r="BA171" s="38"/>
      <c r="BB171" s="44"/>
      <c r="BC171" s="44"/>
      <c r="BD171" s="45" t="str">
        <f aca="false">IF(A171="","",IF(BA171="Stundenlohn",IF(ISNUMBER(BC171),BC171,""),IF(AND(ISNUMBER(BB171),ISNUMBER(AC171)),IF(AC171&gt;0,BB171*12/(AC171*52),""),"")))</f>
        <v/>
      </c>
      <c r="BE171" s="46" t="str">
        <f aca="false">IF(OR(A171="",NOT(ISNUMBER(F171))),"",IFERROR(DATEDIF(F171,P_Stichtag,"Y"),""))</f>
        <v/>
      </c>
      <c r="BF171" s="47" t="str">
        <f aca="false">IF(OR(A171="",NOT(ISNUMBER(BE171))),"",IF(BE171&lt;18,"Ja","Nein"))</f>
        <v/>
      </c>
      <c r="BG171" s="48" t="str">
        <f aca="false">IF(A171="","",IF((IF(OR(B171="",C171="",F171="",N171="",Q171="",AB171="",AC171="",AD171="",AU171=""),"Pflichtfelder fehlen; ","")&amp;IF(AND(ISNUMBER(AC171),AC171&gt;P_MaxWoche),"Wochenstunden &gt; Prüfgrenze; ","")&amp;IF(AND(BF171="Ja",ISNUMBER(AC171),AC171&gt;P_MaxWocheJugend),"Jugendlicher &gt; 40 h/Woche; ","")&amp;IF(AND(ISNUMBER(BD171),BD171&lt;P_Mindestlohn,Q171&lt;&gt;"Auszubildende/r",Q171&lt;&gt;"Praktikant/in"),"Mindestlohn unterschritten?; ","")&amp;IF(AND(Q171="Minijob (geringfügig)",ISNUMBER(BB171),BB171&gt;P_Minijob),"Minijob-Grenze überschritten; ","")&amp;IF(AND(R171="Ja",S171=""),"Befristung ohne Enddatum; ","")&amp;IF(AND(ISNUMBER(O171),ISNUMBER(N171),O171&lt;N171),"Austritt vor Eintritt; ","")&amp;IF(AND(ISNUMBER(AU171),ISNUMBER(AV171),AU171&lt;AV171),"Urlaub unter gesetzl. Minimum; ","")&amp;IF(AND(ISNUMBER(AC171),ISNUMBER(AF171),ABS(N(AC171)-N(AF171))&gt;0.01),"Wochenstd. weichen vom Modell ab; ","")&amp;IF(AND(AI171="Ja",OR(AJ171="",AK171="")),"Kontogrenzen fehlen; ","")&amp;IF(AND(AL171="Mit Gehalt abgegolten (Pauschale)",AM171=""),"Überstunden-Pauschale fehlt; ",""))="","OK",IF(OR(B171="",C171="",F171="",N171="",Q171="",AB171="",AC171="",AD171="",AU171=""),"Pflichtfelder fehlen; ","")&amp;IF(AND(ISNUMBER(AC171),AC171&gt;P_MaxWoche),"Wochenstunden &gt; Prüfgrenze; ","")&amp;IF(AND(BF171="Ja",ISNUMBER(AC171),AC171&gt;P_MaxWocheJugend),"Jugendlicher &gt; 40 h/Woche; ","")&amp;IF(AND(ISNUMBER(BD171),BD171&lt;P_Mindestlohn,Q171&lt;&gt;"Auszubildende/r",Q171&lt;&gt;"Praktikant/in"),"Mindestlohn unterschritten?; ","")&amp;IF(AND(Q171="Minijob (geringfügig)",ISNUMBER(BB171),BB171&gt;P_Minijob),"Minijob-Grenze überschritten; ","")&amp;IF(AND(R171="Ja",S171=""),"Befristung ohne Enddatum; ","")&amp;IF(AND(ISNUMBER(O171),ISNUMBER(N171),O171&lt;N171),"Austritt vor Eintritt; ","")&amp;IF(AND(ISNUMBER(AU171),ISNUMBER(AV171),AU171&lt;AV171),"Urlaub unter gesetzl. Minimum; ","")&amp;IF(AND(ISNUMBER(AC171),ISNUMBER(AF171),ABS(N(AC171)-N(AF171))&gt;0.01),"Wochenstd. weichen vom Modell ab; ","")&amp;IF(AND(AI171="Ja",OR(AJ171="",AK171="")),"Kontogrenzen fehlen; ","")&amp;IF(AND(AL171="Mit Gehalt abgegolten (Pauschale)",AM171=""),"Überstunden-Pauschale fehlt; ","")))</f>
        <v/>
      </c>
      <c r="BH171" s="38"/>
    </row>
    <row r="172" customFormat="false" ht="15" hidden="false" customHeight="false" outlineLevel="0" collapsed="false">
      <c r="A172" s="37"/>
      <c r="B172" s="38"/>
      <c r="C172" s="38"/>
      <c r="D172" s="38"/>
      <c r="E172" s="38"/>
      <c r="F172" s="39"/>
      <c r="G172" s="38"/>
      <c r="H172" s="38"/>
      <c r="I172" s="37"/>
      <c r="J172" s="38"/>
      <c r="K172" s="38"/>
      <c r="L172" s="38"/>
      <c r="M172" s="38"/>
      <c r="N172" s="39"/>
      <c r="O172" s="39"/>
      <c r="P172" s="38"/>
      <c r="Q172" s="38"/>
      <c r="R172" s="38"/>
      <c r="S172" s="39"/>
      <c r="T172" s="39"/>
      <c r="U172" s="38"/>
      <c r="V172" s="38"/>
      <c r="W172" s="37"/>
      <c r="X172" s="38"/>
      <c r="Y172" s="38"/>
      <c r="Z172" s="37"/>
      <c r="AA172" s="38"/>
      <c r="AB172" s="38"/>
      <c r="AC172" s="40"/>
      <c r="AD172" s="41"/>
      <c r="AE172" s="42" t="str">
        <f aca="false">IF(OR(A172="",NOT(ISNUMBER(AC172)),NOT(ISNUMBER(AD172))),"",IF(AD172&gt;0,AC172/AD172,""))</f>
        <v/>
      </c>
      <c r="AF172" s="42" t="str">
        <f aca="false">IF(OR(A172="",AB172=""),"",IFERROR(INDEX(Arbeitszeitmodelle!$C$5:$C$34,MATCH(AB172,Arbeitszeitmodelle!$A$5:$A$34,0)),""))</f>
        <v/>
      </c>
      <c r="AG172" s="38"/>
      <c r="AH172" s="38"/>
      <c r="AI172" s="38"/>
      <c r="AJ172" s="41"/>
      <c r="AK172" s="41"/>
      <c r="AL172" s="38"/>
      <c r="AM172" s="41"/>
      <c r="AN172" s="38"/>
      <c r="AO172" s="38"/>
      <c r="AP172" s="38"/>
      <c r="AQ172" s="38"/>
      <c r="AR172" s="41"/>
      <c r="AS172" s="40"/>
      <c r="AT172" s="39"/>
      <c r="AU172" s="41"/>
      <c r="AV172" s="43" t="str">
        <f aca="false">IF(OR(A172="",NOT(ISNUMBER(AD172))),"",P_MinUrlaubWerktage/6*AD172)</f>
        <v/>
      </c>
      <c r="AW172" s="43" t="str">
        <f aca="false">IF(A172="","",IF(M172="Ja",P_ZusatzSB*IF(ISNUMBER(AD172),AD172,5)/5,0))</f>
        <v/>
      </c>
      <c r="AX172" s="41"/>
      <c r="AY172" s="39"/>
      <c r="AZ172" s="43" t="str">
        <f aca="false">IF(OR(A172="",NOT(ISNUMBER(AU172))),"",SUM(AU172,AW172,AX172))</f>
        <v/>
      </c>
      <c r="BA172" s="38"/>
      <c r="BB172" s="44"/>
      <c r="BC172" s="44"/>
      <c r="BD172" s="45" t="str">
        <f aca="false">IF(A172="","",IF(BA172="Stundenlohn",IF(ISNUMBER(BC172),BC172,""),IF(AND(ISNUMBER(BB172),ISNUMBER(AC172)),IF(AC172&gt;0,BB172*12/(AC172*52),""),"")))</f>
        <v/>
      </c>
      <c r="BE172" s="46" t="str">
        <f aca="false">IF(OR(A172="",NOT(ISNUMBER(F172))),"",IFERROR(DATEDIF(F172,P_Stichtag,"Y"),""))</f>
        <v/>
      </c>
      <c r="BF172" s="47" t="str">
        <f aca="false">IF(OR(A172="",NOT(ISNUMBER(BE172))),"",IF(BE172&lt;18,"Ja","Nein"))</f>
        <v/>
      </c>
      <c r="BG172" s="48" t="str">
        <f aca="false">IF(A172="","",IF((IF(OR(B172="",C172="",F172="",N172="",Q172="",AB172="",AC172="",AD172="",AU172=""),"Pflichtfelder fehlen; ","")&amp;IF(AND(ISNUMBER(AC172),AC172&gt;P_MaxWoche),"Wochenstunden &gt; Prüfgrenze; ","")&amp;IF(AND(BF172="Ja",ISNUMBER(AC172),AC172&gt;P_MaxWocheJugend),"Jugendlicher &gt; 40 h/Woche; ","")&amp;IF(AND(ISNUMBER(BD172),BD172&lt;P_Mindestlohn,Q172&lt;&gt;"Auszubildende/r",Q172&lt;&gt;"Praktikant/in"),"Mindestlohn unterschritten?; ","")&amp;IF(AND(Q172="Minijob (geringfügig)",ISNUMBER(BB172),BB172&gt;P_Minijob),"Minijob-Grenze überschritten; ","")&amp;IF(AND(R172="Ja",S172=""),"Befristung ohne Enddatum; ","")&amp;IF(AND(ISNUMBER(O172),ISNUMBER(N172),O172&lt;N172),"Austritt vor Eintritt; ","")&amp;IF(AND(ISNUMBER(AU172),ISNUMBER(AV172),AU172&lt;AV172),"Urlaub unter gesetzl. Minimum; ","")&amp;IF(AND(ISNUMBER(AC172),ISNUMBER(AF172),ABS(N(AC172)-N(AF172))&gt;0.01),"Wochenstd. weichen vom Modell ab; ","")&amp;IF(AND(AI172="Ja",OR(AJ172="",AK172="")),"Kontogrenzen fehlen; ","")&amp;IF(AND(AL172="Mit Gehalt abgegolten (Pauschale)",AM172=""),"Überstunden-Pauschale fehlt; ",""))="","OK",IF(OR(B172="",C172="",F172="",N172="",Q172="",AB172="",AC172="",AD172="",AU172=""),"Pflichtfelder fehlen; ","")&amp;IF(AND(ISNUMBER(AC172),AC172&gt;P_MaxWoche),"Wochenstunden &gt; Prüfgrenze; ","")&amp;IF(AND(BF172="Ja",ISNUMBER(AC172),AC172&gt;P_MaxWocheJugend),"Jugendlicher &gt; 40 h/Woche; ","")&amp;IF(AND(ISNUMBER(BD172),BD172&lt;P_Mindestlohn,Q172&lt;&gt;"Auszubildende/r",Q172&lt;&gt;"Praktikant/in"),"Mindestlohn unterschritten?; ","")&amp;IF(AND(Q172="Minijob (geringfügig)",ISNUMBER(BB172),BB172&gt;P_Minijob),"Minijob-Grenze überschritten; ","")&amp;IF(AND(R172="Ja",S172=""),"Befristung ohne Enddatum; ","")&amp;IF(AND(ISNUMBER(O172),ISNUMBER(N172),O172&lt;N172),"Austritt vor Eintritt; ","")&amp;IF(AND(ISNUMBER(AU172),ISNUMBER(AV172),AU172&lt;AV172),"Urlaub unter gesetzl. Minimum; ","")&amp;IF(AND(ISNUMBER(AC172),ISNUMBER(AF172),ABS(N(AC172)-N(AF172))&gt;0.01),"Wochenstd. weichen vom Modell ab; ","")&amp;IF(AND(AI172="Ja",OR(AJ172="",AK172="")),"Kontogrenzen fehlen; ","")&amp;IF(AND(AL172="Mit Gehalt abgegolten (Pauschale)",AM172=""),"Überstunden-Pauschale fehlt; ","")))</f>
        <v/>
      </c>
      <c r="BH172" s="38"/>
    </row>
    <row r="173" customFormat="false" ht="15" hidden="false" customHeight="false" outlineLevel="0" collapsed="false">
      <c r="A173" s="37"/>
      <c r="B173" s="38"/>
      <c r="C173" s="38"/>
      <c r="D173" s="38"/>
      <c r="E173" s="38"/>
      <c r="F173" s="39"/>
      <c r="G173" s="38"/>
      <c r="H173" s="38"/>
      <c r="I173" s="37"/>
      <c r="J173" s="38"/>
      <c r="K173" s="38"/>
      <c r="L173" s="38"/>
      <c r="M173" s="38"/>
      <c r="N173" s="39"/>
      <c r="O173" s="39"/>
      <c r="P173" s="38"/>
      <c r="Q173" s="38"/>
      <c r="R173" s="38"/>
      <c r="S173" s="39"/>
      <c r="T173" s="39"/>
      <c r="U173" s="38"/>
      <c r="V173" s="38"/>
      <c r="W173" s="37"/>
      <c r="X173" s="38"/>
      <c r="Y173" s="38"/>
      <c r="Z173" s="37"/>
      <c r="AA173" s="38"/>
      <c r="AB173" s="38"/>
      <c r="AC173" s="40"/>
      <c r="AD173" s="41"/>
      <c r="AE173" s="42" t="str">
        <f aca="false">IF(OR(A173="",NOT(ISNUMBER(AC173)),NOT(ISNUMBER(AD173))),"",IF(AD173&gt;0,AC173/AD173,""))</f>
        <v/>
      </c>
      <c r="AF173" s="42" t="str">
        <f aca="false">IF(OR(A173="",AB173=""),"",IFERROR(INDEX(Arbeitszeitmodelle!$C$5:$C$34,MATCH(AB173,Arbeitszeitmodelle!$A$5:$A$34,0)),""))</f>
        <v/>
      </c>
      <c r="AG173" s="38"/>
      <c r="AH173" s="38"/>
      <c r="AI173" s="38"/>
      <c r="AJ173" s="41"/>
      <c r="AK173" s="41"/>
      <c r="AL173" s="38"/>
      <c r="AM173" s="41"/>
      <c r="AN173" s="38"/>
      <c r="AO173" s="38"/>
      <c r="AP173" s="38"/>
      <c r="AQ173" s="38"/>
      <c r="AR173" s="41"/>
      <c r="AS173" s="40"/>
      <c r="AT173" s="39"/>
      <c r="AU173" s="41"/>
      <c r="AV173" s="43" t="str">
        <f aca="false">IF(OR(A173="",NOT(ISNUMBER(AD173))),"",P_MinUrlaubWerktage/6*AD173)</f>
        <v/>
      </c>
      <c r="AW173" s="43" t="str">
        <f aca="false">IF(A173="","",IF(M173="Ja",P_ZusatzSB*IF(ISNUMBER(AD173),AD173,5)/5,0))</f>
        <v/>
      </c>
      <c r="AX173" s="41"/>
      <c r="AY173" s="39"/>
      <c r="AZ173" s="43" t="str">
        <f aca="false">IF(OR(A173="",NOT(ISNUMBER(AU173))),"",SUM(AU173,AW173,AX173))</f>
        <v/>
      </c>
      <c r="BA173" s="38"/>
      <c r="BB173" s="44"/>
      <c r="BC173" s="44"/>
      <c r="BD173" s="45" t="str">
        <f aca="false">IF(A173="","",IF(BA173="Stundenlohn",IF(ISNUMBER(BC173),BC173,""),IF(AND(ISNUMBER(BB173),ISNUMBER(AC173)),IF(AC173&gt;0,BB173*12/(AC173*52),""),"")))</f>
        <v/>
      </c>
      <c r="BE173" s="46" t="str">
        <f aca="false">IF(OR(A173="",NOT(ISNUMBER(F173))),"",IFERROR(DATEDIF(F173,P_Stichtag,"Y"),""))</f>
        <v/>
      </c>
      <c r="BF173" s="47" t="str">
        <f aca="false">IF(OR(A173="",NOT(ISNUMBER(BE173))),"",IF(BE173&lt;18,"Ja","Nein"))</f>
        <v/>
      </c>
      <c r="BG173" s="48" t="str">
        <f aca="false">IF(A173="","",IF((IF(OR(B173="",C173="",F173="",N173="",Q173="",AB173="",AC173="",AD173="",AU173=""),"Pflichtfelder fehlen; ","")&amp;IF(AND(ISNUMBER(AC173),AC173&gt;P_MaxWoche),"Wochenstunden &gt; Prüfgrenze; ","")&amp;IF(AND(BF173="Ja",ISNUMBER(AC173),AC173&gt;P_MaxWocheJugend),"Jugendlicher &gt; 40 h/Woche; ","")&amp;IF(AND(ISNUMBER(BD173),BD173&lt;P_Mindestlohn,Q173&lt;&gt;"Auszubildende/r",Q173&lt;&gt;"Praktikant/in"),"Mindestlohn unterschritten?; ","")&amp;IF(AND(Q173="Minijob (geringfügig)",ISNUMBER(BB173),BB173&gt;P_Minijob),"Minijob-Grenze überschritten; ","")&amp;IF(AND(R173="Ja",S173=""),"Befristung ohne Enddatum; ","")&amp;IF(AND(ISNUMBER(O173),ISNUMBER(N173),O173&lt;N173),"Austritt vor Eintritt; ","")&amp;IF(AND(ISNUMBER(AU173),ISNUMBER(AV173),AU173&lt;AV173),"Urlaub unter gesetzl. Minimum; ","")&amp;IF(AND(ISNUMBER(AC173),ISNUMBER(AF173),ABS(N(AC173)-N(AF173))&gt;0.01),"Wochenstd. weichen vom Modell ab; ","")&amp;IF(AND(AI173="Ja",OR(AJ173="",AK173="")),"Kontogrenzen fehlen; ","")&amp;IF(AND(AL173="Mit Gehalt abgegolten (Pauschale)",AM173=""),"Überstunden-Pauschale fehlt; ",""))="","OK",IF(OR(B173="",C173="",F173="",N173="",Q173="",AB173="",AC173="",AD173="",AU173=""),"Pflichtfelder fehlen; ","")&amp;IF(AND(ISNUMBER(AC173),AC173&gt;P_MaxWoche),"Wochenstunden &gt; Prüfgrenze; ","")&amp;IF(AND(BF173="Ja",ISNUMBER(AC173),AC173&gt;P_MaxWocheJugend),"Jugendlicher &gt; 40 h/Woche; ","")&amp;IF(AND(ISNUMBER(BD173),BD173&lt;P_Mindestlohn,Q173&lt;&gt;"Auszubildende/r",Q173&lt;&gt;"Praktikant/in"),"Mindestlohn unterschritten?; ","")&amp;IF(AND(Q173="Minijob (geringfügig)",ISNUMBER(BB173),BB173&gt;P_Minijob),"Minijob-Grenze überschritten; ","")&amp;IF(AND(R173="Ja",S173=""),"Befristung ohne Enddatum; ","")&amp;IF(AND(ISNUMBER(O173),ISNUMBER(N173),O173&lt;N173),"Austritt vor Eintritt; ","")&amp;IF(AND(ISNUMBER(AU173),ISNUMBER(AV173),AU173&lt;AV173),"Urlaub unter gesetzl. Minimum; ","")&amp;IF(AND(ISNUMBER(AC173),ISNUMBER(AF173),ABS(N(AC173)-N(AF173))&gt;0.01),"Wochenstd. weichen vom Modell ab; ","")&amp;IF(AND(AI173="Ja",OR(AJ173="",AK173="")),"Kontogrenzen fehlen; ","")&amp;IF(AND(AL173="Mit Gehalt abgegolten (Pauschale)",AM173=""),"Überstunden-Pauschale fehlt; ","")))</f>
        <v/>
      </c>
      <c r="BH173" s="38"/>
    </row>
    <row r="174" customFormat="false" ht="15" hidden="false" customHeight="false" outlineLevel="0" collapsed="false">
      <c r="A174" s="37"/>
      <c r="B174" s="38"/>
      <c r="C174" s="38"/>
      <c r="D174" s="38"/>
      <c r="E174" s="38"/>
      <c r="F174" s="39"/>
      <c r="G174" s="38"/>
      <c r="H174" s="38"/>
      <c r="I174" s="37"/>
      <c r="J174" s="38"/>
      <c r="K174" s="38"/>
      <c r="L174" s="38"/>
      <c r="M174" s="38"/>
      <c r="N174" s="39"/>
      <c r="O174" s="39"/>
      <c r="P174" s="38"/>
      <c r="Q174" s="38"/>
      <c r="R174" s="38"/>
      <c r="S174" s="39"/>
      <c r="T174" s="39"/>
      <c r="U174" s="38"/>
      <c r="V174" s="38"/>
      <c r="W174" s="37"/>
      <c r="X174" s="38"/>
      <c r="Y174" s="38"/>
      <c r="Z174" s="37"/>
      <c r="AA174" s="38"/>
      <c r="AB174" s="38"/>
      <c r="AC174" s="40"/>
      <c r="AD174" s="41"/>
      <c r="AE174" s="42" t="str">
        <f aca="false">IF(OR(A174="",NOT(ISNUMBER(AC174)),NOT(ISNUMBER(AD174))),"",IF(AD174&gt;0,AC174/AD174,""))</f>
        <v/>
      </c>
      <c r="AF174" s="42" t="str">
        <f aca="false">IF(OR(A174="",AB174=""),"",IFERROR(INDEX(Arbeitszeitmodelle!$C$5:$C$34,MATCH(AB174,Arbeitszeitmodelle!$A$5:$A$34,0)),""))</f>
        <v/>
      </c>
      <c r="AG174" s="38"/>
      <c r="AH174" s="38"/>
      <c r="AI174" s="38"/>
      <c r="AJ174" s="41"/>
      <c r="AK174" s="41"/>
      <c r="AL174" s="38"/>
      <c r="AM174" s="41"/>
      <c r="AN174" s="38"/>
      <c r="AO174" s="38"/>
      <c r="AP174" s="38"/>
      <c r="AQ174" s="38"/>
      <c r="AR174" s="41"/>
      <c r="AS174" s="40"/>
      <c r="AT174" s="39"/>
      <c r="AU174" s="41"/>
      <c r="AV174" s="43" t="str">
        <f aca="false">IF(OR(A174="",NOT(ISNUMBER(AD174))),"",P_MinUrlaubWerktage/6*AD174)</f>
        <v/>
      </c>
      <c r="AW174" s="43" t="str">
        <f aca="false">IF(A174="","",IF(M174="Ja",P_ZusatzSB*IF(ISNUMBER(AD174),AD174,5)/5,0))</f>
        <v/>
      </c>
      <c r="AX174" s="41"/>
      <c r="AY174" s="39"/>
      <c r="AZ174" s="43" t="str">
        <f aca="false">IF(OR(A174="",NOT(ISNUMBER(AU174))),"",SUM(AU174,AW174,AX174))</f>
        <v/>
      </c>
      <c r="BA174" s="38"/>
      <c r="BB174" s="44"/>
      <c r="BC174" s="44"/>
      <c r="BD174" s="45" t="str">
        <f aca="false">IF(A174="","",IF(BA174="Stundenlohn",IF(ISNUMBER(BC174),BC174,""),IF(AND(ISNUMBER(BB174),ISNUMBER(AC174)),IF(AC174&gt;0,BB174*12/(AC174*52),""),"")))</f>
        <v/>
      </c>
      <c r="BE174" s="46" t="str">
        <f aca="false">IF(OR(A174="",NOT(ISNUMBER(F174))),"",IFERROR(DATEDIF(F174,P_Stichtag,"Y"),""))</f>
        <v/>
      </c>
      <c r="BF174" s="47" t="str">
        <f aca="false">IF(OR(A174="",NOT(ISNUMBER(BE174))),"",IF(BE174&lt;18,"Ja","Nein"))</f>
        <v/>
      </c>
      <c r="BG174" s="48" t="str">
        <f aca="false">IF(A174="","",IF((IF(OR(B174="",C174="",F174="",N174="",Q174="",AB174="",AC174="",AD174="",AU174=""),"Pflichtfelder fehlen; ","")&amp;IF(AND(ISNUMBER(AC174),AC174&gt;P_MaxWoche),"Wochenstunden &gt; Prüfgrenze; ","")&amp;IF(AND(BF174="Ja",ISNUMBER(AC174),AC174&gt;P_MaxWocheJugend),"Jugendlicher &gt; 40 h/Woche; ","")&amp;IF(AND(ISNUMBER(BD174),BD174&lt;P_Mindestlohn,Q174&lt;&gt;"Auszubildende/r",Q174&lt;&gt;"Praktikant/in"),"Mindestlohn unterschritten?; ","")&amp;IF(AND(Q174="Minijob (geringfügig)",ISNUMBER(BB174),BB174&gt;P_Minijob),"Minijob-Grenze überschritten; ","")&amp;IF(AND(R174="Ja",S174=""),"Befristung ohne Enddatum; ","")&amp;IF(AND(ISNUMBER(O174),ISNUMBER(N174),O174&lt;N174),"Austritt vor Eintritt; ","")&amp;IF(AND(ISNUMBER(AU174),ISNUMBER(AV174),AU174&lt;AV174),"Urlaub unter gesetzl. Minimum; ","")&amp;IF(AND(ISNUMBER(AC174),ISNUMBER(AF174),ABS(N(AC174)-N(AF174))&gt;0.01),"Wochenstd. weichen vom Modell ab; ","")&amp;IF(AND(AI174="Ja",OR(AJ174="",AK174="")),"Kontogrenzen fehlen; ","")&amp;IF(AND(AL174="Mit Gehalt abgegolten (Pauschale)",AM174=""),"Überstunden-Pauschale fehlt; ",""))="","OK",IF(OR(B174="",C174="",F174="",N174="",Q174="",AB174="",AC174="",AD174="",AU174=""),"Pflichtfelder fehlen; ","")&amp;IF(AND(ISNUMBER(AC174),AC174&gt;P_MaxWoche),"Wochenstunden &gt; Prüfgrenze; ","")&amp;IF(AND(BF174="Ja",ISNUMBER(AC174),AC174&gt;P_MaxWocheJugend),"Jugendlicher &gt; 40 h/Woche; ","")&amp;IF(AND(ISNUMBER(BD174),BD174&lt;P_Mindestlohn,Q174&lt;&gt;"Auszubildende/r",Q174&lt;&gt;"Praktikant/in"),"Mindestlohn unterschritten?; ","")&amp;IF(AND(Q174="Minijob (geringfügig)",ISNUMBER(BB174),BB174&gt;P_Minijob),"Minijob-Grenze überschritten; ","")&amp;IF(AND(R174="Ja",S174=""),"Befristung ohne Enddatum; ","")&amp;IF(AND(ISNUMBER(O174),ISNUMBER(N174),O174&lt;N174),"Austritt vor Eintritt; ","")&amp;IF(AND(ISNUMBER(AU174),ISNUMBER(AV174),AU174&lt;AV174),"Urlaub unter gesetzl. Minimum; ","")&amp;IF(AND(ISNUMBER(AC174),ISNUMBER(AF174),ABS(N(AC174)-N(AF174))&gt;0.01),"Wochenstd. weichen vom Modell ab; ","")&amp;IF(AND(AI174="Ja",OR(AJ174="",AK174="")),"Kontogrenzen fehlen; ","")&amp;IF(AND(AL174="Mit Gehalt abgegolten (Pauschale)",AM174=""),"Überstunden-Pauschale fehlt; ","")))</f>
        <v/>
      </c>
      <c r="BH174" s="38"/>
    </row>
    <row r="175" customFormat="false" ht="15" hidden="false" customHeight="false" outlineLevel="0" collapsed="false">
      <c r="A175" s="37"/>
      <c r="B175" s="38"/>
      <c r="C175" s="38"/>
      <c r="D175" s="38"/>
      <c r="E175" s="38"/>
      <c r="F175" s="39"/>
      <c r="G175" s="38"/>
      <c r="H175" s="38"/>
      <c r="I175" s="37"/>
      <c r="J175" s="38"/>
      <c r="K175" s="38"/>
      <c r="L175" s="38"/>
      <c r="M175" s="38"/>
      <c r="N175" s="39"/>
      <c r="O175" s="39"/>
      <c r="P175" s="38"/>
      <c r="Q175" s="38"/>
      <c r="R175" s="38"/>
      <c r="S175" s="39"/>
      <c r="T175" s="39"/>
      <c r="U175" s="38"/>
      <c r="V175" s="38"/>
      <c r="W175" s="37"/>
      <c r="X175" s="38"/>
      <c r="Y175" s="38"/>
      <c r="Z175" s="37"/>
      <c r="AA175" s="38"/>
      <c r="AB175" s="38"/>
      <c r="AC175" s="40"/>
      <c r="AD175" s="41"/>
      <c r="AE175" s="42" t="str">
        <f aca="false">IF(OR(A175="",NOT(ISNUMBER(AC175)),NOT(ISNUMBER(AD175))),"",IF(AD175&gt;0,AC175/AD175,""))</f>
        <v/>
      </c>
      <c r="AF175" s="42" t="str">
        <f aca="false">IF(OR(A175="",AB175=""),"",IFERROR(INDEX(Arbeitszeitmodelle!$C$5:$C$34,MATCH(AB175,Arbeitszeitmodelle!$A$5:$A$34,0)),""))</f>
        <v/>
      </c>
      <c r="AG175" s="38"/>
      <c r="AH175" s="38"/>
      <c r="AI175" s="38"/>
      <c r="AJ175" s="41"/>
      <c r="AK175" s="41"/>
      <c r="AL175" s="38"/>
      <c r="AM175" s="41"/>
      <c r="AN175" s="38"/>
      <c r="AO175" s="38"/>
      <c r="AP175" s="38"/>
      <c r="AQ175" s="38"/>
      <c r="AR175" s="41"/>
      <c r="AS175" s="40"/>
      <c r="AT175" s="39"/>
      <c r="AU175" s="41"/>
      <c r="AV175" s="43" t="str">
        <f aca="false">IF(OR(A175="",NOT(ISNUMBER(AD175))),"",P_MinUrlaubWerktage/6*AD175)</f>
        <v/>
      </c>
      <c r="AW175" s="43" t="str">
        <f aca="false">IF(A175="","",IF(M175="Ja",P_ZusatzSB*IF(ISNUMBER(AD175),AD175,5)/5,0))</f>
        <v/>
      </c>
      <c r="AX175" s="41"/>
      <c r="AY175" s="39"/>
      <c r="AZ175" s="43" t="str">
        <f aca="false">IF(OR(A175="",NOT(ISNUMBER(AU175))),"",SUM(AU175,AW175,AX175))</f>
        <v/>
      </c>
      <c r="BA175" s="38"/>
      <c r="BB175" s="44"/>
      <c r="BC175" s="44"/>
      <c r="BD175" s="45" t="str">
        <f aca="false">IF(A175="","",IF(BA175="Stundenlohn",IF(ISNUMBER(BC175),BC175,""),IF(AND(ISNUMBER(BB175),ISNUMBER(AC175)),IF(AC175&gt;0,BB175*12/(AC175*52),""),"")))</f>
        <v/>
      </c>
      <c r="BE175" s="46" t="str">
        <f aca="false">IF(OR(A175="",NOT(ISNUMBER(F175))),"",IFERROR(DATEDIF(F175,P_Stichtag,"Y"),""))</f>
        <v/>
      </c>
      <c r="BF175" s="47" t="str">
        <f aca="false">IF(OR(A175="",NOT(ISNUMBER(BE175))),"",IF(BE175&lt;18,"Ja","Nein"))</f>
        <v/>
      </c>
      <c r="BG175" s="48" t="str">
        <f aca="false">IF(A175="","",IF((IF(OR(B175="",C175="",F175="",N175="",Q175="",AB175="",AC175="",AD175="",AU175=""),"Pflichtfelder fehlen; ","")&amp;IF(AND(ISNUMBER(AC175),AC175&gt;P_MaxWoche),"Wochenstunden &gt; Prüfgrenze; ","")&amp;IF(AND(BF175="Ja",ISNUMBER(AC175),AC175&gt;P_MaxWocheJugend),"Jugendlicher &gt; 40 h/Woche; ","")&amp;IF(AND(ISNUMBER(BD175),BD175&lt;P_Mindestlohn,Q175&lt;&gt;"Auszubildende/r",Q175&lt;&gt;"Praktikant/in"),"Mindestlohn unterschritten?; ","")&amp;IF(AND(Q175="Minijob (geringfügig)",ISNUMBER(BB175),BB175&gt;P_Minijob),"Minijob-Grenze überschritten; ","")&amp;IF(AND(R175="Ja",S175=""),"Befristung ohne Enddatum; ","")&amp;IF(AND(ISNUMBER(O175),ISNUMBER(N175),O175&lt;N175),"Austritt vor Eintritt; ","")&amp;IF(AND(ISNUMBER(AU175),ISNUMBER(AV175),AU175&lt;AV175),"Urlaub unter gesetzl. Minimum; ","")&amp;IF(AND(ISNUMBER(AC175),ISNUMBER(AF175),ABS(N(AC175)-N(AF175))&gt;0.01),"Wochenstd. weichen vom Modell ab; ","")&amp;IF(AND(AI175="Ja",OR(AJ175="",AK175="")),"Kontogrenzen fehlen; ","")&amp;IF(AND(AL175="Mit Gehalt abgegolten (Pauschale)",AM175=""),"Überstunden-Pauschale fehlt; ",""))="","OK",IF(OR(B175="",C175="",F175="",N175="",Q175="",AB175="",AC175="",AD175="",AU175=""),"Pflichtfelder fehlen; ","")&amp;IF(AND(ISNUMBER(AC175),AC175&gt;P_MaxWoche),"Wochenstunden &gt; Prüfgrenze; ","")&amp;IF(AND(BF175="Ja",ISNUMBER(AC175),AC175&gt;P_MaxWocheJugend),"Jugendlicher &gt; 40 h/Woche; ","")&amp;IF(AND(ISNUMBER(BD175),BD175&lt;P_Mindestlohn,Q175&lt;&gt;"Auszubildende/r",Q175&lt;&gt;"Praktikant/in"),"Mindestlohn unterschritten?; ","")&amp;IF(AND(Q175="Minijob (geringfügig)",ISNUMBER(BB175),BB175&gt;P_Minijob),"Minijob-Grenze überschritten; ","")&amp;IF(AND(R175="Ja",S175=""),"Befristung ohne Enddatum; ","")&amp;IF(AND(ISNUMBER(O175),ISNUMBER(N175),O175&lt;N175),"Austritt vor Eintritt; ","")&amp;IF(AND(ISNUMBER(AU175),ISNUMBER(AV175),AU175&lt;AV175),"Urlaub unter gesetzl. Minimum; ","")&amp;IF(AND(ISNUMBER(AC175),ISNUMBER(AF175),ABS(N(AC175)-N(AF175))&gt;0.01),"Wochenstd. weichen vom Modell ab; ","")&amp;IF(AND(AI175="Ja",OR(AJ175="",AK175="")),"Kontogrenzen fehlen; ","")&amp;IF(AND(AL175="Mit Gehalt abgegolten (Pauschale)",AM175=""),"Überstunden-Pauschale fehlt; ","")))</f>
        <v/>
      </c>
      <c r="BH175" s="38"/>
    </row>
    <row r="176" customFormat="false" ht="15" hidden="false" customHeight="false" outlineLevel="0" collapsed="false">
      <c r="A176" s="37"/>
      <c r="B176" s="38"/>
      <c r="C176" s="38"/>
      <c r="D176" s="38"/>
      <c r="E176" s="38"/>
      <c r="F176" s="39"/>
      <c r="G176" s="38"/>
      <c r="H176" s="38"/>
      <c r="I176" s="37"/>
      <c r="J176" s="38"/>
      <c r="K176" s="38"/>
      <c r="L176" s="38"/>
      <c r="M176" s="38"/>
      <c r="N176" s="39"/>
      <c r="O176" s="39"/>
      <c r="P176" s="38"/>
      <c r="Q176" s="38"/>
      <c r="R176" s="38"/>
      <c r="S176" s="39"/>
      <c r="T176" s="39"/>
      <c r="U176" s="38"/>
      <c r="V176" s="38"/>
      <c r="W176" s="37"/>
      <c r="X176" s="38"/>
      <c r="Y176" s="38"/>
      <c r="Z176" s="37"/>
      <c r="AA176" s="38"/>
      <c r="AB176" s="38"/>
      <c r="AC176" s="40"/>
      <c r="AD176" s="41"/>
      <c r="AE176" s="42" t="str">
        <f aca="false">IF(OR(A176="",NOT(ISNUMBER(AC176)),NOT(ISNUMBER(AD176))),"",IF(AD176&gt;0,AC176/AD176,""))</f>
        <v/>
      </c>
      <c r="AF176" s="42" t="str">
        <f aca="false">IF(OR(A176="",AB176=""),"",IFERROR(INDEX(Arbeitszeitmodelle!$C$5:$C$34,MATCH(AB176,Arbeitszeitmodelle!$A$5:$A$34,0)),""))</f>
        <v/>
      </c>
      <c r="AG176" s="38"/>
      <c r="AH176" s="38"/>
      <c r="AI176" s="38"/>
      <c r="AJ176" s="41"/>
      <c r="AK176" s="41"/>
      <c r="AL176" s="38"/>
      <c r="AM176" s="41"/>
      <c r="AN176" s="38"/>
      <c r="AO176" s="38"/>
      <c r="AP176" s="38"/>
      <c r="AQ176" s="38"/>
      <c r="AR176" s="41"/>
      <c r="AS176" s="40"/>
      <c r="AT176" s="39"/>
      <c r="AU176" s="41"/>
      <c r="AV176" s="43" t="str">
        <f aca="false">IF(OR(A176="",NOT(ISNUMBER(AD176))),"",P_MinUrlaubWerktage/6*AD176)</f>
        <v/>
      </c>
      <c r="AW176" s="43" t="str">
        <f aca="false">IF(A176="","",IF(M176="Ja",P_ZusatzSB*IF(ISNUMBER(AD176),AD176,5)/5,0))</f>
        <v/>
      </c>
      <c r="AX176" s="41"/>
      <c r="AY176" s="39"/>
      <c r="AZ176" s="43" t="str">
        <f aca="false">IF(OR(A176="",NOT(ISNUMBER(AU176))),"",SUM(AU176,AW176,AX176))</f>
        <v/>
      </c>
      <c r="BA176" s="38"/>
      <c r="BB176" s="44"/>
      <c r="BC176" s="44"/>
      <c r="BD176" s="45" t="str">
        <f aca="false">IF(A176="","",IF(BA176="Stundenlohn",IF(ISNUMBER(BC176),BC176,""),IF(AND(ISNUMBER(BB176),ISNUMBER(AC176)),IF(AC176&gt;0,BB176*12/(AC176*52),""),"")))</f>
        <v/>
      </c>
      <c r="BE176" s="46" t="str">
        <f aca="false">IF(OR(A176="",NOT(ISNUMBER(F176))),"",IFERROR(DATEDIF(F176,P_Stichtag,"Y"),""))</f>
        <v/>
      </c>
      <c r="BF176" s="47" t="str">
        <f aca="false">IF(OR(A176="",NOT(ISNUMBER(BE176))),"",IF(BE176&lt;18,"Ja","Nein"))</f>
        <v/>
      </c>
      <c r="BG176" s="48" t="str">
        <f aca="false">IF(A176="","",IF((IF(OR(B176="",C176="",F176="",N176="",Q176="",AB176="",AC176="",AD176="",AU176=""),"Pflichtfelder fehlen; ","")&amp;IF(AND(ISNUMBER(AC176),AC176&gt;P_MaxWoche),"Wochenstunden &gt; Prüfgrenze; ","")&amp;IF(AND(BF176="Ja",ISNUMBER(AC176),AC176&gt;P_MaxWocheJugend),"Jugendlicher &gt; 40 h/Woche; ","")&amp;IF(AND(ISNUMBER(BD176),BD176&lt;P_Mindestlohn,Q176&lt;&gt;"Auszubildende/r",Q176&lt;&gt;"Praktikant/in"),"Mindestlohn unterschritten?; ","")&amp;IF(AND(Q176="Minijob (geringfügig)",ISNUMBER(BB176),BB176&gt;P_Minijob),"Minijob-Grenze überschritten; ","")&amp;IF(AND(R176="Ja",S176=""),"Befristung ohne Enddatum; ","")&amp;IF(AND(ISNUMBER(O176),ISNUMBER(N176),O176&lt;N176),"Austritt vor Eintritt; ","")&amp;IF(AND(ISNUMBER(AU176),ISNUMBER(AV176),AU176&lt;AV176),"Urlaub unter gesetzl. Minimum; ","")&amp;IF(AND(ISNUMBER(AC176),ISNUMBER(AF176),ABS(N(AC176)-N(AF176))&gt;0.01),"Wochenstd. weichen vom Modell ab; ","")&amp;IF(AND(AI176="Ja",OR(AJ176="",AK176="")),"Kontogrenzen fehlen; ","")&amp;IF(AND(AL176="Mit Gehalt abgegolten (Pauschale)",AM176=""),"Überstunden-Pauschale fehlt; ",""))="","OK",IF(OR(B176="",C176="",F176="",N176="",Q176="",AB176="",AC176="",AD176="",AU176=""),"Pflichtfelder fehlen; ","")&amp;IF(AND(ISNUMBER(AC176),AC176&gt;P_MaxWoche),"Wochenstunden &gt; Prüfgrenze; ","")&amp;IF(AND(BF176="Ja",ISNUMBER(AC176),AC176&gt;P_MaxWocheJugend),"Jugendlicher &gt; 40 h/Woche; ","")&amp;IF(AND(ISNUMBER(BD176),BD176&lt;P_Mindestlohn,Q176&lt;&gt;"Auszubildende/r",Q176&lt;&gt;"Praktikant/in"),"Mindestlohn unterschritten?; ","")&amp;IF(AND(Q176="Minijob (geringfügig)",ISNUMBER(BB176),BB176&gt;P_Minijob),"Minijob-Grenze überschritten; ","")&amp;IF(AND(R176="Ja",S176=""),"Befristung ohne Enddatum; ","")&amp;IF(AND(ISNUMBER(O176),ISNUMBER(N176),O176&lt;N176),"Austritt vor Eintritt; ","")&amp;IF(AND(ISNUMBER(AU176),ISNUMBER(AV176),AU176&lt;AV176),"Urlaub unter gesetzl. Minimum; ","")&amp;IF(AND(ISNUMBER(AC176),ISNUMBER(AF176),ABS(N(AC176)-N(AF176))&gt;0.01),"Wochenstd. weichen vom Modell ab; ","")&amp;IF(AND(AI176="Ja",OR(AJ176="",AK176="")),"Kontogrenzen fehlen; ","")&amp;IF(AND(AL176="Mit Gehalt abgegolten (Pauschale)",AM176=""),"Überstunden-Pauschale fehlt; ","")))</f>
        <v/>
      </c>
      <c r="BH176" s="38"/>
    </row>
    <row r="177" customFormat="false" ht="15" hidden="false" customHeight="false" outlineLevel="0" collapsed="false">
      <c r="A177" s="37"/>
      <c r="B177" s="38"/>
      <c r="C177" s="38"/>
      <c r="D177" s="38"/>
      <c r="E177" s="38"/>
      <c r="F177" s="39"/>
      <c r="G177" s="38"/>
      <c r="H177" s="38"/>
      <c r="I177" s="37"/>
      <c r="J177" s="38"/>
      <c r="K177" s="38"/>
      <c r="L177" s="38"/>
      <c r="M177" s="38"/>
      <c r="N177" s="39"/>
      <c r="O177" s="39"/>
      <c r="P177" s="38"/>
      <c r="Q177" s="38"/>
      <c r="R177" s="38"/>
      <c r="S177" s="39"/>
      <c r="T177" s="39"/>
      <c r="U177" s="38"/>
      <c r="V177" s="38"/>
      <c r="W177" s="37"/>
      <c r="X177" s="38"/>
      <c r="Y177" s="38"/>
      <c r="Z177" s="37"/>
      <c r="AA177" s="38"/>
      <c r="AB177" s="38"/>
      <c r="AC177" s="40"/>
      <c r="AD177" s="41"/>
      <c r="AE177" s="42" t="str">
        <f aca="false">IF(OR(A177="",NOT(ISNUMBER(AC177)),NOT(ISNUMBER(AD177))),"",IF(AD177&gt;0,AC177/AD177,""))</f>
        <v/>
      </c>
      <c r="AF177" s="42" t="str">
        <f aca="false">IF(OR(A177="",AB177=""),"",IFERROR(INDEX(Arbeitszeitmodelle!$C$5:$C$34,MATCH(AB177,Arbeitszeitmodelle!$A$5:$A$34,0)),""))</f>
        <v/>
      </c>
      <c r="AG177" s="38"/>
      <c r="AH177" s="38"/>
      <c r="AI177" s="38"/>
      <c r="AJ177" s="41"/>
      <c r="AK177" s="41"/>
      <c r="AL177" s="38"/>
      <c r="AM177" s="41"/>
      <c r="AN177" s="38"/>
      <c r="AO177" s="38"/>
      <c r="AP177" s="38"/>
      <c r="AQ177" s="38"/>
      <c r="AR177" s="41"/>
      <c r="AS177" s="40"/>
      <c r="AT177" s="39"/>
      <c r="AU177" s="41"/>
      <c r="AV177" s="43" t="str">
        <f aca="false">IF(OR(A177="",NOT(ISNUMBER(AD177))),"",P_MinUrlaubWerktage/6*AD177)</f>
        <v/>
      </c>
      <c r="AW177" s="43" t="str">
        <f aca="false">IF(A177="","",IF(M177="Ja",P_ZusatzSB*IF(ISNUMBER(AD177),AD177,5)/5,0))</f>
        <v/>
      </c>
      <c r="AX177" s="41"/>
      <c r="AY177" s="39"/>
      <c r="AZ177" s="43" t="str">
        <f aca="false">IF(OR(A177="",NOT(ISNUMBER(AU177))),"",SUM(AU177,AW177,AX177))</f>
        <v/>
      </c>
      <c r="BA177" s="38"/>
      <c r="BB177" s="44"/>
      <c r="BC177" s="44"/>
      <c r="BD177" s="45" t="str">
        <f aca="false">IF(A177="","",IF(BA177="Stundenlohn",IF(ISNUMBER(BC177),BC177,""),IF(AND(ISNUMBER(BB177),ISNUMBER(AC177)),IF(AC177&gt;0,BB177*12/(AC177*52),""),"")))</f>
        <v/>
      </c>
      <c r="BE177" s="46" t="str">
        <f aca="false">IF(OR(A177="",NOT(ISNUMBER(F177))),"",IFERROR(DATEDIF(F177,P_Stichtag,"Y"),""))</f>
        <v/>
      </c>
      <c r="BF177" s="47" t="str">
        <f aca="false">IF(OR(A177="",NOT(ISNUMBER(BE177))),"",IF(BE177&lt;18,"Ja","Nein"))</f>
        <v/>
      </c>
      <c r="BG177" s="48" t="str">
        <f aca="false">IF(A177="","",IF((IF(OR(B177="",C177="",F177="",N177="",Q177="",AB177="",AC177="",AD177="",AU177=""),"Pflichtfelder fehlen; ","")&amp;IF(AND(ISNUMBER(AC177),AC177&gt;P_MaxWoche),"Wochenstunden &gt; Prüfgrenze; ","")&amp;IF(AND(BF177="Ja",ISNUMBER(AC177),AC177&gt;P_MaxWocheJugend),"Jugendlicher &gt; 40 h/Woche; ","")&amp;IF(AND(ISNUMBER(BD177),BD177&lt;P_Mindestlohn,Q177&lt;&gt;"Auszubildende/r",Q177&lt;&gt;"Praktikant/in"),"Mindestlohn unterschritten?; ","")&amp;IF(AND(Q177="Minijob (geringfügig)",ISNUMBER(BB177),BB177&gt;P_Minijob),"Minijob-Grenze überschritten; ","")&amp;IF(AND(R177="Ja",S177=""),"Befristung ohne Enddatum; ","")&amp;IF(AND(ISNUMBER(O177),ISNUMBER(N177),O177&lt;N177),"Austritt vor Eintritt; ","")&amp;IF(AND(ISNUMBER(AU177),ISNUMBER(AV177),AU177&lt;AV177),"Urlaub unter gesetzl. Minimum; ","")&amp;IF(AND(ISNUMBER(AC177),ISNUMBER(AF177),ABS(N(AC177)-N(AF177))&gt;0.01),"Wochenstd. weichen vom Modell ab; ","")&amp;IF(AND(AI177="Ja",OR(AJ177="",AK177="")),"Kontogrenzen fehlen; ","")&amp;IF(AND(AL177="Mit Gehalt abgegolten (Pauschale)",AM177=""),"Überstunden-Pauschale fehlt; ",""))="","OK",IF(OR(B177="",C177="",F177="",N177="",Q177="",AB177="",AC177="",AD177="",AU177=""),"Pflichtfelder fehlen; ","")&amp;IF(AND(ISNUMBER(AC177),AC177&gt;P_MaxWoche),"Wochenstunden &gt; Prüfgrenze; ","")&amp;IF(AND(BF177="Ja",ISNUMBER(AC177),AC177&gt;P_MaxWocheJugend),"Jugendlicher &gt; 40 h/Woche; ","")&amp;IF(AND(ISNUMBER(BD177),BD177&lt;P_Mindestlohn,Q177&lt;&gt;"Auszubildende/r",Q177&lt;&gt;"Praktikant/in"),"Mindestlohn unterschritten?; ","")&amp;IF(AND(Q177="Minijob (geringfügig)",ISNUMBER(BB177),BB177&gt;P_Minijob),"Minijob-Grenze überschritten; ","")&amp;IF(AND(R177="Ja",S177=""),"Befristung ohne Enddatum; ","")&amp;IF(AND(ISNUMBER(O177),ISNUMBER(N177),O177&lt;N177),"Austritt vor Eintritt; ","")&amp;IF(AND(ISNUMBER(AU177),ISNUMBER(AV177),AU177&lt;AV177),"Urlaub unter gesetzl. Minimum; ","")&amp;IF(AND(ISNUMBER(AC177),ISNUMBER(AF177),ABS(N(AC177)-N(AF177))&gt;0.01),"Wochenstd. weichen vom Modell ab; ","")&amp;IF(AND(AI177="Ja",OR(AJ177="",AK177="")),"Kontogrenzen fehlen; ","")&amp;IF(AND(AL177="Mit Gehalt abgegolten (Pauschale)",AM177=""),"Überstunden-Pauschale fehlt; ","")))</f>
        <v/>
      </c>
      <c r="BH177" s="38"/>
    </row>
    <row r="178" customFormat="false" ht="15" hidden="false" customHeight="false" outlineLevel="0" collapsed="false">
      <c r="A178" s="37"/>
      <c r="B178" s="38"/>
      <c r="C178" s="38"/>
      <c r="D178" s="38"/>
      <c r="E178" s="38"/>
      <c r="F178" s="39"/>
      <c r="G178" s="38"/>
      <c r="H178" s="38"/>
      <c r="I178" s="37"/>
      <c r="J178" s="38"/>
      <c r="K178" s="38"/>
      <c r="L178" s="38"/>
      <c r="M178" s="38"/>
      <c r="N178" s="39"/>
      <c r="O178" s="39"/>
      <c r="P178" s="38"/>
      <c r="Q178" s="38"/>
      <c r="R178" s="38"/>
      <c r="S178" s="39"/>
      <c r="T178" s="39"/>
      <c r="U178" s="38"/>
      <c r="V178" s="38"/>
      <c r="W178" s="37"/>
      <c r="X178" s="38"/>
      <c r="Y178" s="38"/>
      <c r="Z178" s="37"/>
      <c r="AA178" s="38"/>
      <c r="AB178" s="38"/>
      <c r="AC178" s="40"/>
      <c r="AD178" s="41"/>
      <c r="AE178" s="42" t="str">
        <f aca="false">IF(OR(A178="",NOT(ISNUMBER(AC178)),NOT(ISNUMBER(AD178))),"",IF(AD178&gt;0,AC178/AD178,""))</f>
        <v/>
      </c>
      <c r="AF178" s="42" t="str">
        <f aca="false">IF(OR(A178="",AB178=""),"",IFERROR(INDEX(Arbeitszeitmodelle!$C$5:$C$34,MATCH(AB178,Arbeitszeitmodelle!$A$5:$A$34,0)),""))</f>
        <v/>
      </c>
      <c r="AG178" s="38"/>
      <c r="AH178" s="38"/>
      <c r="AI178" s="38"/>
      <c r="AJ178" s="41"/>
      <c r="AK178" s="41"/>
      <c r="AL178" s="38"/>
      <c r="AM178" s="41"/>
      <c r="AN178" s="38"/>
      <c r="AO178" s="38"/>
      <c r="AP178" s="38"/>
      <c r="AQ178" s="38"/>
      <c r="AR178" s="41"/>
      <c r="AS178" s="40"/>
      <c r="AT178" s="39"/>
      <c r="AU178" s="41"/>
      <c r="AV178" s="43" t="str">
        <f aca="false">IF(OR(A178="",NOT(ISNUMBER(AD178))),"",P_MinUrlaubWerktage/6*AD178)</f>
        <v/>
      </c>
      <c r="AW178" s="43" t="str">
        <f aca="false">IF(A178="","",IF(M178="Ja",P_ZusatzSB*IF(ISNUMBER(AD178),AD178,5)/5,0))</f>
        <v/>
      </c>
      <c r="AX178" s="41"/>
      <c r="AY178" s="39"/>
      <c r="AZ178" s="43" t="str">
        <f aca="false">IF(OR(A178="",NOT(ISNUMBER(AU178))),"",SUM(AU178,AW178,AX178))</f>
        <v/>
      </c>
      <c r="BA178" s="38"/>
      <c r="BB178" s="44"/>
      <c r="BC178" s="44"/>
      <c r="BD178" s="45" t="str">
        <f aca="false">IF(A178="","",IF(BA178="Stundenlohn",IF(ISNUMBER(BC178),BC178,""),IF(AND(ISNUMBER(BB178),ISNUMBER(AC178)),IF(AC178&gt;0,BB178*12/(AC178*52),""),"")))</f>
        <v/>
      </c>
      <c r="BE178" s="46" t="str">
        <f aca="false">IF(OR(A178="",NOT(ISNUMBER(F178))),"",IFERROR(DATEDIF(F178,P_Stichtag,"Y"),""))</f>
        <v/>
      </c>
      <c r="BF178" s="47" t="str">
        <f aca="false">IF(OR(A178="",NOT(ISNUMBER(BE178))),"",IF(BE178&lt;18,"Ja","Nein"))</f>
        <v/>
      </c>
      <c r="BG178" s="48" t="str">
        <f aca="false">IF(A178="","",IF((IF(OR(B178="",C178="",F178="",N178="",Q178="",AB178="",AC178="",AD178="",AU178=""),"Pflichtfelder fehlen; ","")&amp;IF(AND(ISNUMBER(AC178),AC178&gt;P_MaxWoche),"Wochenstunden &gt; Prüfgrenze; ","")&amp;IF(AND(BF178="Ja",ISNUMBER(AC178),AC178&gt;P_MaxWocheJugend),"Jugendlicher &gt; 40 h/Woche; ","")&amp;IF(AND(ISNUMBER(BD178),BD178&lt;P_Mindestlohn,Q178&lt;&gt;"Auszubildende/r",Q178&lt;&gt;"Praktikant/in"),"Mindestlohn unterschritten?; ","")&amp;IF(AND(Q178="Minijob (geringfügig)",ISNUMBER(BB178),BB178&gt;P_Minijob),"Minijob-Grenze überschritten; ","")&amp;IF(AND(R178="Ja",S178=""),"Befristung ohne Enddatum; ","")&amp;IF(AND(ISNUMBER(O178),ISNUMBER(N178),O178&lt;N178),"Austritt vor Eintritt; ","")&amp;IF(AND(ISNUMBER(AU178),ISNUMBER(AV178),AU178&lt;AV178),"Urlaub unter gesetzl. Minimum; ","")&amp;IF(AND(ISNUMBER(AC178),ISNUMBER(AF178),ABS(N(AC178)-N(AF178))&gt;0.01),"Wochenstd. weichen vom Modell ab; ","")&amp;IF(AND(AI178="Ja",OR(AJ178="",AK178="")),"Kontogrenzen fehlen; ","")&amp;IF(AND(AL178="Mit Gehalt abgegolten (Pauschale)",AM178=""),"Überstunden-Pauschale fehlt; ",""))="","OK",IF(OR(B178="",C178="",F178="",N178="",Q178="",AB178="",AC178="",AD178="",AU178=""),"Pflichtfelder fehlen; ","")&amp;IF(AND(ISNUMBER(AC178),AC178&gt;P_MaxWoche),"Wochenstunden &gt; Prüfgrenze; ","")&amp;IF(AND(BF178="Ja",ISNUMBER(AC178),AC178&gt;P_MaxWocheJugend),"Jugendlicher &gt; 40 h/Woche; ","")&amp;IF(AND(ISNUMBER(BD178),BD178&lt;P_Mindestlohn,Q178&lt;&gt;"Auszubildende/r",Q178&lt;&gt;"Praktikant/in"),"Mindestlohn unterschritten?; ","")&amp;IF(AND(Q178="Minijob (geringfügig)",ISNUMBER(BB178),BB178&gt;P_Minijob),"Minijob-Grenze überschritten; ","")&amp;IF(AND(R178="Ja",S178=""),"Befristung ohne Enddatum; ","")&amp;IF(AND(ISNUMBER(O178),ISNUMBER(N178),O178&lt;N178),"Austritt vor Eintritt; ","")&amp;IF(AND(ISNUMBER(AU178),ISNUMBER(AV178),AU178&lt;AV178),"Urlaub unter gesetzl. Minimum; ","")&amp;IF(AND(ISNUMBER(AC178),ISNUMBER(AF178),ABS(N(AC178)-N(AF178))&gt;0.01),"Wochenstd. weichen vom Modell ab; ","")&amp;IF(AND(AI178="Ja",OR(AJ178="",AK178="")),"Kontogrenzen fehlen; ","")&amp;IF(AND(AL178="Mit Gehalt abgegolten (Pauschale)",AM178=""),"Überstunden-Pauschale fehlt; ","")))</f>
        <v/>
      </c>
      <c r="BH178" s="38"/>
    </row>
    <row r="179" customFormat="false" ht="15" hidden="false" customHeight="false" outlineLevel="0" collapsed="false">
      <c r="A179" s="37"/>
      <c r="B179" s="38"/>
      <c r="C179" s="38"/>
      <c r="D179" s="38"/>
      <c r="E179" s="38"/>
      <c r="F179" s="39"/>
      <c r="G179" s="38"/>
      <c r="H179" s="38"/>
      <c r="I179" s="37"/>
      <c r="J179" s="38"/>
      <c r="K179" s="38"/>
      <c r="L179" s="38"/>
      <c r="M179" s="38"/>
      <c r="N179" s="39"/>
      <c r="O179" s="39"/>
      <c r="P179" s="38"/>
      <c r="Q179" s="38"/>
      <c r="R179" s="38"/>
      <c r="S179" s="39"/>
      <c r="T179" s="39"/>
      <c r="U179" s="38"/>
      <c r="V179" s="38"/>
      <c r="W179" s="37"/>
      <c r="X179" s="38"/>
      <c r="Y179" s="38"/>
      <c r="Z179" s="37"/>
      <c r="AA179" s="38"/>
      <c r="AB179" s="38"/>
      <c r="AC179" s="40"/>
      <c r="AD179" s="41"/>
      <c r="AE179" s="42" t="str">
        <f aca="false">IF(OR(A179="",NOT(ISNUMBER(AC179)),NOT(ISNUMBER(AD179))),"",IF(AD179&gt;0,AC179/AD179,""))</f>
        <v/>
      </c>
      <c r="AF179" s="42" t="str">
        <f aca="false">IF(OR(A179="",AB179=""),"",IFERROR(INDEX(Arbeitszeitmodelle!$C$5:$C$34,MATCH(AB179,Arbeitszeitmodelle!$A$5:$A$34,0)),""))</f>
        <v/>
      </c>
      <c r="AG179" s="38"/>
      <c r="AH179" s="38"/>
      <c r="AI179" s="38"/>
      <c r="AJ179" s="41"/>
      <c r="AK179" s="41"/>
      <c r="AL179" s="38"/>
      <c r="AM179" s="41"/>
      <c r="AN179" s="38"/>
      <c r="AO179" s="38"/>
      <c r="AP179" s="38"/>
      <c r="AQ179" s="38"/>
      <c r="AR179" s="41"/>
      <c r="AS179" s="40"/>
      <c r="AT179" s="39"/>
      <c r="AU179" s="41"/>
      <c r="AV179" s="43" t="str">
        <f aca="false">IF(OR(A179="",NOT(ISNUMBER(AD179))),"",P_MinUrlaubWerktage/6*AD179)</f>
        <v/>
      </c>
      <c r="AW179" s="43" t="str">
        <f aca="false">IF(A179="","",IF(M179="Ja",P_ZusatzSB*IF(ISNUMBER(AD179),AD179,5)/5,0))</f>
        <v/>
      </c>
      <c r="AX179" s="41"/>
      <c r="AY179" s="39"/>
      <c r="AZ179" s="43" t="str">
        <f aca="false">IF(OR(A179="",NOT(ISNUMBER(AU179))),"",SUM(AU179,AW179,AX179))</f>
        <v/>
      </c>
      <c r="BA179" s="38"/>
      <c r="BB179" s="44"/>
      <c r="BC179" s="44"/>
      <c r="BD179" s="45" t="str">
        <f aca="false">IF(A179="","",IF(BA179="Stundenlohn",IF(ISNUMBER(BC179),BC179,""),IF(AND(ISNUMBER(BB179),ISNUMBER(AC179)),IF(AC179&gt;0,BB179*12/(AC179*52),""),"")))</f>
        <v/>
      </c>
      <c r="BE179" s="46" t="str">
        <f aca="false">IF(OR(A179="",NOT(ISNUMBER(F179))),"",IFERROR(DATEDIF(F179,P_Stichtag,"Y"),""))</f>
        <v/>
      </c>
      <c r="BF179" s="47" t="str">
        <f aca="false">IF(OR(A179="",NOT(ISNUMBER(BE179))),"",IF(BE179&lt;18,"Ja","Nein"))</f>
        <v/>
      </c>
      <c r="BG179" s="48" t="str">
        <f aca="false">IF(A179="","",IF((IF(OR(B179="",C179="",F179="",N179="",Q179="",AB179="",AC179="",AD179="",AU179=""),"Pflichtfelder fehlen; ","")&amp;IF(AND(ISNUMBER(AC179),AC179&gt;P_MaxWoche),"Wochenstunden &gt; Prüfgrenze; ","")&amp;IF(AND(BF179="Ja",ISNUMBER(AC179),AC179&gt;P_MaxWocheJugend),"Jugendlicher &gt; 40 h/Woche; ","")&amp;IF(AND(ISNUMBER(BD179),BD179&lt;P_Mindestlohn,Q179&lt;&gt;"Auszubildende/r",Q179&lt;&gt;"Praktikant/in"),"Mindestlohn unterschritten?; ","")&amp;IF(AND(Q179="Minijob (geringfügig)",ISNUMBER(BB179),BB179&gt;P_Minijob),"Minijob-Grenze überschritten; ","")&amp;IF(AND(R179="Ja",S179=""),"Befristung ohne Enddatum; ","")&amp;IF(AND(ISNUMBER(O179),ISNUMBER(N179),O179&lt;N179),"Austritt vor Eintritt; ","")&amp;IF(AND(ISNUMBER(AU179),ISNUMBER(AV179),AU179&lt;AV179),"Urlaub unter gesetzl. Minimum; ","")&amp;IF(AND(ISNUMBER(AC179),ISNUMBER(AF179),ABS(N(AC179)-N(AF179))&gt;0.01),"Wochenstd. weichen vom Modell ab; ","")&amp;IF(AND(AI179="Ja",OR(AJ179="",AK179="")),"Kontogrenzen fehlen; ","")&amp;IF(AND(AL179="Mit Gehalt abgegolten (Pauschale)",AM179=""),"Überstunden-Pauschale fehlt; ",""))="","OK",IF(OR(B179="",C179="",F179="",N179="",Q179="",AB179="",AC179="",AD179="",AU179=""),"Pflichtfelder fehlen; ","")&amp;IF(AND(ISNUMBER(AC179),AC179&gt;P_MaxWoche),"Wochenstunden &gt; Prüfgrenze; ","")&amp;IF(AND(BF179="Ja",ISNUMBER(AC179),AC179&gt;P_MaxWocheJugend),"Jugendlicher &gt; 40 h/Woche; ","")&amp;IF(AND(ISNUMBER(BD179),BD179&lt;P_Mindestlohn,Q179&lt;&gt;"Auszubildende/r",Q179&lt;&gt;"Praktikant/in"),"Mindestlohn unterschritten?; ","")&amp;IF(AND(Q179="Minijob (geringfügig)",ISNUMBER(BB179),BB179&gt;P_Minijob),"Minijob-Grenze überschritten; ","")&amp;IF(AND(R179="Ja",S179=""),"Befristung ohne Enddatum; ","")&amp;IF(AND(ISNUMBER(O179),ISNUMBER(N179),O179&lt;N179),"Austritt vor Eintritt; ","")&amp;IF(AND(ISNUMBER(AU179),ISNUMBER(AV179),AU179&lt;AV179),"Urlaub unter gesetzl. Minimum; ","")&amp;IF(AND(ISNUMBER(AC179),ISNUMBER(AF179),ABS(N(AC179)-N(AF179))&gt;0.01),"Wochenstd. weichen vom Modell ab; ","")&amp;IF(AND(AI179="Ja",OR(AJ179="",AK179="")),"Kontogrenzen fehlen; ","")&amp;IF(AND(AL179="Mit Gehalt abgegolten (Pauschale)",AM179=""),"Überstunden-Pauschale fehlt; ","")))</f>
        <v/>
      </c>
      <c r="BH179" s="38"/>
    </row>
    <row r="180" customFormat="false" ht="15" hidden="false" customHeight="false" outlineLevel="0" collapsed="false">
      <c r="A180" s="37"/>
      <c r="B180" s="38"/>
      <c r="C180" s="38"/>
      <c r="D180" s="38"/>
      <c r="E180" s="38"/>
      <c r="F180" s="39"/>
      <c r="G180" s="38"/>
      <c r="H180" s="38"/>
      <c r="I180" s="37"/>
      <c r="J180" s="38"/>
      <c r="K180" s="38"/>
      <c r="L180" s="38"/>
      <c r="M180" s="38"/>
      <c r="N180" s="39"/>
      <c r="O180" s="39"/>
      <c r="P180" s="38"/>
      <c r="Q180" s="38"/>
      <c r="R180" s="38"/>
      <c r="S180" s="39"/>
      <c r="T180" s="39"/>
      <c r="U180" s="38"/>
      <c r="V180" s="38"/>
      <c r="W180" s="37"/>
      <c r="X180" s="38"/>
      <c r="Y180" s="38"/>
      <c r="Z180" s="37"/>
      <c r="AA180" s="38"/>
      <c r="AB180" s="38"/>
      <c r="AC180" s="40"/>
      <c r="AD180" s="41"/>
      <c r="AE180" s="42" t="str">
        <f aca="false">IF(OR(A180="",NOT(ISNUMBER(AC180)),NOT(ISNUMBER(AD180))),"",IF(AD180&gt;0,AC180/AD180,""))</f>
        <v/>
      </c>
      <c r="AF180" s="42" t="str">
        <f aca="false">IF(OR(A180="",AB180=""),"",IFERROR(INDEX(Arbeitszeitmodelle!$C$5:$C$34,MATCH(AB180,Arbeitszeitmodelle!$A$5:$A$34,0)),""))</f>
        <v/>
      </c>
      <c r="AG180" s="38"/>
      <c r="AH180" s="38"/>
      <c r="AI180" s="38"/>
      <c r="AJ180" s="41"/>
      <c r="AK180" s="41"/>
      <c r="AL180" s="38"/>
      <c r="AM180" s="41"/>
      <c r="AN180" s="38"/>
      <c r="AO180" s="38"/>
      <c r="AP180" s="38"/>
      <c r="AQ180" s="38"/>
      <c r="AR180" s="41"/>
      <c r="AS180" s="40"/>
      <c r="AT180" s="39"/>
      <c r="AU180" s="41"/>
      <c r="AV180" s="43" t="str">
        <f aca="false">IF(OR(A180="",NOT(ISNUMBER(AD180))),"",P_MinUrlaubWerktage/6*AD180)</f>
        <v/>
      </c>
      <c r="AW180" s="43" t="str">
        <f aca="false">IF(A180="","",IF(M180="Ja",P_ZusatzSB*IF(ISNUMBER(AD180),AD180,5)/5,0))</f>
        <v/>
      </c>
      <c r="AX180" s="41"/>
      <c r="AY180" s="39"/>
      <c r="AZ180" s="43" t="str">
        <f aca="false">IF(OR(A180="",NOT(ISNUMBER(AU180))),"",SUM(AU180,AW180,AX180))</f>
        <v/>
      </c>
      <c r="BA180" s="38"/>
      <c r="BB180" s="44"/>
      <c r="BC180" s="44"/>
      <c r="BD180" s="45" t="str">
        <f aca="false">IF(A180="","",IF(BA180="Stundenlohn",IF(ISNUMBER(BC180),BC180,""),IF(AND(ISNUMBER(BB180),ISNUMBER(AC180)),IF(AC180&gt;0,BB180*12/(AC180*52),""),"")))</f>
        <v/>
      </c>
      <c r="BE180" s="46" t="str">
        <f aca="false">IF(OR(A180="",NOT(ISNUMBER(F180))),"",IFERROR(DATEDIF(F180,P_Stichtag,"Y"),""))</f>
        <v/>
      </c>
      <c r="BF180" s="47" t="str">
        <f aca="false">IF(OR(A180="",NOT(ISNUMBER(BE180))),"",IF(BE180&lt;18,"Ja","Nein"))</f>
        <v/>
      </c>
      <c r="BG180" s="48" t="str">
        <f aca="false">IF(A180="","",IF((IF(OR(B180="",C180="",F180="",N180="",Q180="",AB180="",AC180="",AD180="",AU180=""),"Pflichtfelder fehlen; ","")&amp;IF(AND(ISNUMBER(AC180),AC180&gt;P_MaxWoche),"Wochenstunden &gt; Prüfgrenze; ","")&amp;IF(AND(BF180="Ja",ISNUMBER(AC180),AC180&gt;P_MaxWocheJugend),"Jugendlicher &gt; 40 h/Woche; ","")&amp;IF(AND(ISNUMBER(BD180),BD180&lt;P_Mindestlohn,Q180&lt;&gt;"Auszubildende/r",Q180&lt;&gt;"Praktikant/in"),"Mindestlohn unterschritten?; ","")&amp;IF(AND(Q180="Minijob (geringfügig)",ISNUMBER(BB180),BB180&gt;P_Minijob),"Minijob-Grenze überschritten; ","")&amp;IF(AND(R180="Ja",S180=""),"Befristung ohne Enddatum; ","")&amp;IF(AND(ISNUMBER(O180),ISNUMBER(N180),O180&lt;N180),"Austritt vor Eintritt; ","")&amp;IF(AND(ISNUMBER(AU180),ISNUMBER(AV180),AU180&lt;AV180),"Urlaub unter gesetzl. Minimum; ","")&amp;IF(AND(ISNUMBER(AC180),ISNUMBER(AF180),ABS(N(AC180)-N(AF180))&gt;0.01),"Wochenstd. weichen vom Modell ab; ","")&amp;IF(AND(AI180="Ja",OR(AJ180="",AK180="")),"Kontogrenzen fehlen; ","")&amp;IF(AND(AL180="Mit Gehalt abgegolten (Pauschale)",AM180=""),"Überstunden-Pauschale fehlt; ",""))="","OK",IF(OR(B180="",C180="",F180="",N180="",Q180="",AB180="",AC180="",AD180="",AU180=""),"Pflichtfelder fehlen; ","")&amp;IF(AND(ISNUMBER(AC180),AC180&gt;P_MaxWoche),"Wochenstunden &gt; Prüfgrenze; ","")&amp;IF(AND(BF180="Ja",ISNUMBER(AC180),AC180&gt;P_MaxWocheJugend),"Jugendlicher &gt; 40 h/Woche; ","")&amp;IF(AND(ISNUMBER(BD180),BD180&lt;P_Mindestlohn,Q180&lt;&gt;"Auszubildende/r",Q180&lt;&gt;"Praktikant/in"),"Mindestlohn unterschritten?; ","")&amp;IF(AND(Q180="Minijob (geringfügig)",ISNUMBER(BB180),BB180&gt;P_Minijob),"Minijob-Grenze überschritten; ","")&amp;IF(AND(R180="Ja",S180=""),"Befristung ohne Enddatum; ","")&amp;IF(AND(ISNUMBER(O180),ISNUMBER(N180),O180&lt;N180),"Austritt vor Eintritt; ","")&amp;IF(AND(ISNUMBER(AU180),ISNUMBER(AV180),AU180&lt;AV180),"Urlaub unter gesetzl. Minimum; ","")&amp;IF(AND(ISNUMBER(AC180),ISNUMBER(AF180),ABS(N(AC180)-N(AF180))&gt;0.01),"Wochenstd. weichen vom Modell ab; ","")&amp;IF(AND(AI180="Ja",OR(AJ180="",AK180="")),"Kontogrenzen fehlen; ","")&amp;IF(AND(AL180="Mit Gehalt abgegolten (Pauschale)",AM180=""),"Überstunden-Pauschale fehlt; ","")))</f>
        <v/>
      </c>
      <c r="BH180" s="38"/>
    </row>
    <row r="181" customFormat="false" ht="15" hidden="false" customHeight="false" outlineLevel="0" collapsed="false">
      <c r="A181" s="37"/>
      <c r="B181" s="38"/>
      <c r="C181" s="38"/>
      <c r="D181" s="38"/>
      <c r="E181" s="38"/>
      <c r="F181" s="39"/>
      <c r="G181" s="38"/>
      <c r="H181" s="38"/>
      <c r="I181" s="37"/>
      <c r="J181" s="38"/>
      <c r="K181" s="38"/>
      <c r="L181" s="38"/>
      <c r="M181" s="38"/>
      <c r="N181" s="39"/>
      <c r="O181" s="39"/>
      <c r="P181" s="38"/>
      <c r="Q181" s="38"/>
      <c r="R181" s="38"/>
      <c r="S181" s="39"/>
      <c r="T181" s="39"/>
      <c r="U181" s="38"/>
      <c r="V181" s="38"/>
      <c r="W181" s="37"/>
      <c r="X181" s="38"/>
      <c r="Y181" s="38"/>
      <c r="Z181" s="37"/>
      <c r="AA181" s="38"/>
      <c r="AB181" s="38"/>
      <c r="AC181" s="40"/>
      <c r="AD181" s="41"/>
      <c r="AE181" s="42" t="str">
        <f aca="false">IF(OR(A181="",NOT(ISNUMBER(AC181)),NOT(ISNUMBER(AD181))),"",IF(AD181&gt;0,AC181/AD181,""))</f>
        <v/>
      </c>
      <c r="AF181" s="42" t="str">
        <f aca="false">IF(OR(A181="",AB181=""),"",IFERROR(INDEX(Arbeitszeitmodelle!$C$5:$C$34,MATCH(AB181,Arbeitszeitmodelle!$A$5:$A$34,0)),""))</f>
        <v/>
      </c>
      <c r="AG181" s="38"/>
      <c r="AH181" s="38"/>
      <c r="AI181" s="38"/>
      <c r="AJ181" s="41"/>
      <c r="AK181" s="41"/>
      <c r="AL181" s="38"/>
      <c r="AM181" s="41"/>
      <c r="AN181" s="38"/>
      <c r="AO181" s="38"/>
      <c r="AP181" s="38"/>
      <c r="AQ181" s="38"/>
      <c r="AR181" s="41"/>
      <c r="AS181" s="40"/>
      <c r="AT181" s="39"/>
      <c r="AU181" s="41"/>
      <c r="AV181" s="43" t="str">
        <f aca="false">IF(OR(A181="",NOT(ISNUMBER(AD181))),"",P_MinUrlaubWerktage/6*AD181)</f>
        <v/>
      </c>
      <c r="AW181" s="43" t="str">
        <f aca="false">IF(A181="","",IF(M181="Ja",P_ZusatzSB*IF(ISNUMBER(AD181),AD181,5)/5,0))</f>
        <v/>
      </c>
      <c r="AX181" s="41"/>
      <c r="AY181" s="39"/>
      <c r="AZ181" s="43" t="str">
        <f aca="false">IF(OR(A181="",NOT(ISNUMBER(AU181))),"",SUM(AU181,AW181,AX181))</f>
        <v/>
      </c>
      <c r="BA181" s="38"/>
      <c r="BB181" s="44"/>
      <c r="BC181" s="44"/>
      <c r="BD181" s="45" t="str">
        <f aca="false">IF(A181="","",IF(BA181="Stundenlohn",IF(ISNUMBER(BC181),BC181,""),IF(AND(ISNUMBER(BB181),ISNUMBER(AC181)),IF(AC181&gt;0,BB181*12/(AC181*52),""),"")))</f>
        <v/>
      </c>
      <c r="BE181" s="46" t="str">
        <f aca="false">IF(OR(A181="",NOT(ISNUMBER(F181))),"",IFERROR(DATEDIF(F181,P_Stichtag,"Y"),""))</f>
        <v/>
      </c>
      <c r="BF181" s="47" t="str">
        <f aca="false">IF(OR(A181="",NOT(ISNUMBER(BE181))),"",IF(BE181&lt;18,"Ja","Nein"))</f>
        <v/>
      </c>
      <c r="BG181" s="48" t="str">
        <f aca="false">IF(A181="","",IF((IF(OR(B181="",C181="",F181="",N181="",Q181="",AB181="",AC181="",AD181="",AU181=""),"Pflichtfelder fehlen; ","")&amp;IF(AND(ISNUMBER(AC181),AC181&gt;P_MaxWoche),"Wochenstunden &gt; Prüfgrenze; ","")&amp;IF(AND(BF181="Ja",ISNUMBER(AC181),AC181&gt;P_MaxWocheJugend),"Jugendlicher &gt; 40 h/Woche; ","")&amp;IF(AND(ISNUMBER(BD181),BD181&lt;P_Mindestlohn,Q181&lt;&gt;"Auszubildende/r",Q181&lt;&gt;"Praktikant/in"),"Mindestlohn unterschritten?; ","")&amp;IF(AND(Q181="Minijob (geringfügig)",ISNUMBER(BB181),BB181&gt;P_Minijob),"Minijob-Grenze überschritten; ","")&amp;IF(AND(R181="Ja",S181=""),"Befristung ohne Enddatum; ","")&amp;IF(AND(ISNUMBER(O181),ISNUMBER(N181),O181&lt;N181),"Austritt vor Eintritt; ","")&amp;IF(AND(ISNUMBER(AU181),ISNUMBER(AV181),AU181&lt;AV181),"Urlaub unter gesetzl. Minimum; ","")&amp;IF(AND(ISNUMBER(AC181),ISNUMBER(AF181),ABS(N(AC181)-N(AF181))&gt;0.01),"Wochenstd. weichen vom Modell ab; ","")&amp;IF(AND(AI181="Ja",OR(AJ181="",AK181="")),"Kontogrenzen fehlen; ","")&amp;IF(AND(AL181="Mit Gehalt abgegolten (Pauschale)",AM181=""),"Überstunden-Pauschale fehlt; ",""))="","OK",IF(OR(B181="",C181="",F181="",N181="",Q181="",AB181="",AC181="",AD181="",AU181=""),"Pflichtfelder fehlen; ","")&amp;IF(AND(ISNUMBER(AC181),AC181&gt;P_MaxWoche),"Wochenstunden &gt; Prüfgrenze; ","")&amp;IF(AND(BF181="Ja",ISNUMBER(AC181),AC181&gt;P_MaxWocheJugend),"Jugendlicher &gt; 40 h/Woche; ","")&amp;IF(AND(ISNUMBER(BD181),BD181&lt;P_Mindestlohn,Q181&lt;&gt;"Auszubildende/r",Q181&lt;&gt;"Praktikant/in"),"Mindestlohn unterschritten?; ","")&amp;IF(AND(Q181="Minijob (geringfügig)",ISNUMBER(BB181),BB181&gt;P_Minijob),"Minijob-Grenze überschritten; ","")&amp;IF(AND(R181="Ja",S181=""),"Befristung ohne Enddatum; ","")&amp;IF(AND(ISNUMBER(O181),ISNUMBER(N181),O181&lt;N181),"Austritt vor Eintritt; ","")&amp;IF(AND(ISNUMBER(AU181),ISNUMBER(AV181),AU181&lt;AV181),"Urlaub unter gesetzl. Minimum; ","")&amp;IF(AND(ISNUMBER(AC181),ISNUMBER(AF181),ABS(N(AC181)-N(AF181))&gt;0.01),"Wochenstd. weichen vom Modell ab; ","")&amp;IF(AND(AI181="Ja",OR(AJ181="",AK181="")),"Kontogrenzen fehlen; ","")&amp;IF(AND(AL181="Mit Gehalt abgegolten (Pauschale)",AM181=""),"Überstunden-Pauschale fehlt; ","")))</f>
        <v/>
      </c>
      <c r="BH181" s="38"/>
    </row>
    <row r="182" customFormat="false" ht="15" hidden="false" customHeight="false" outlineLevel="0" collapsed="false">
      <c r="A182" s="37"/>
      <c r="B182" s="38"/>
      <c r="C182" s="38"/>
      <c r="D182" s="38"/>
      <c r="E182" s="38"/>
      <c r="F182" s="39"/>
      <c r="G182" s="38"/>
      <c r="H182" s="38"/>
      <c r="I182" s="37"/>
      <c r="J182" s="38"/>
      <c r="K182" s="38"/>
      <c r="L182" s="38"/>
      <c r="M182" s="38"/>
      <c r="N182" s="39"/>
      <c r="O182" s="39"/>
      <c r="P182" s="38"/>
      <c r="Q182" s="38"/>
      <c r="R182" s="38"/>
      <c r="S182" s="39"/>
      <c r="T182" s="39"/>
      <c r="U182" s="38"/>
      <c r="V182" s="38"/>
      <c r="W182" s="37"/>
      <c r="X182" s="38"/>
      <c r="Y182" s="38"/>
      <c r="Z182" s="37"/>
      <c r="AA182" s="38"/>
      <c r="AB182" s="38"/>
      <c r="AC182" s="40"/>
      <c r="AD182" s="41"/>
      <c r="AE182" s="42" t="str">
        <f aca="false">IF(OR(A182="",NOT(ISNUMBER(AC182)),NOT(ISNUMBER(AD182))),"",IF(AD182&gt;0,AC182/AD182,""))</f>
        <v/>
      </c>
      <c r="AF182" s="42" t="str">
        <f aca="false">IF(OR(A182="",AB182=""),"",IFERROR(INDEX(Arbeitszeitmodelle!$C$5:$C$34,MATCH(AB182,Arbeitszeitmodelle!$A$5:$A$34,0)),""))</f>
        <v/>
      </c>
      <c r="AG182" s="38"/>
      <c r="AH182" s="38"/>
      <c r="AI182" s="38"/>
      <c r="AJ182" s="41"/>
      <c r="AK182" s="41"/>
      <c r="AL182" s="38"/>
      <c r="AM182" s="41"/>
      <c r="AN182" s="38"/>
      <c r="AO182" s="38"/>
      <c r="AP182" s="38"/>
      <c r="AQ182" s="38"/>
      <c r="AR182" s="41"/>
      <c r="AS182" s="40"/>
      <c r="AT182" s="39"/>
      <c r="AU182" s="41"/>
      <c r="AV182" s="43" t="str">
        <f aca="false">IF(OR(A182="",NOT(ISNUMBER(AD182))),"",P_MinUrlaubWerktage/6*AD182)</f>
        <v/>
      </c>
      <c r="AW182" s="43" t="str">
        <f aca="false">IF(A182="","",IF(M182="Ja",P_ZusatzSB*IF(ISNUMBER(AD182),AD182,5)/5,0))</f>
        <v/>
      </c>
      <c r="AX182" s="41"/>
      <c r="AY182" s="39"/>
      <c r="AZ182" s="43" t="str">
        <f aca="false">IF(OR(A182="",NOT(ISNUMBER(AU182))),"",SUM(AU182,AW182,AX182))</f>
        <v/>
      </c>
      <c r="BA182" s="38"/>
      <c r="BB182" s="44"/>
      <c r="BC182" s="44"/>
      <c r="BD182" s="45" t="str">
        <f aca="false">IF(A182="","",IF(BA182="Stundenlohn",IF(ISNUMBER(BC182),BC182,""),IF(AND(ISNUMBER(BB182),ISNUMBER(AC182)),IF(AC182&gt;0,BB182*12/(AC182*52),""),"")))</f>
        <v/>
      </c>
      <c r="BE182" s="46" t="str">
        <f aca="false">IF(OR(A182="",NOT(ISNUMBER(F182))),"",IFERROR(DATEDIF(F182,P_Stichtag,"Y"),""))</f>
        <v/>
      </c>
      <c r="BF182" s="47" t="str">
        <f aca="false">IF(OR(A182="",NOT(ISNUMBER(BE182))),"",IF(BE182&lt;18,"Ja","Nein"))</f>
        <v/>
      </c>
      <c r="BG182" s="48" t="str">
        <f aca="false">IF(A182="","",IF((IF(OR(B182="",C182="",F182="",N182="",Q182="",AB182="",AC182="",AD182="",AU182=""),"Pflichtfelder fehlen; ","")&amp;IF(AND(ISNUMBER(AC182),AC182&gt;P_MaxWoche),"Wochenstunden &gt; Prüfgrenze; ","")&amp;IF(AND(BF182="Ja",ISNUMBER(AC182),AC182&gt;P_MaxWocheJugend),"Jugendlicher &gt; 40 h/Woche; ","")&amp;IF(AND(ISNUMBER(BD182),BD182&lt;P_Mindestlohn,Q182&lt;&gt;"Auszubildende/r",Q182&lt;&gt;"Praktikant/in"),"Mindestlohn unterschritten?; ","")&amp;IF(AND(Q182="Minijob (geringfügig)",ISNUMBER(BB182),BB182&gt;P_Minijob),"Minijob-Grenze überschritten; ","")&amp;IF(AND(R182="Ja",S182=""),"Befristung ohne Enddatum; ","")&amp;IF(AND(ISNUMBER(O182),ISNUMBER(N182),O182&lt;N182),"Austritt vor Eintritt; ","")&amp;IF(AND(ISNUMBER(AU182),ISNUMBER(AV182),AU182&lt;AV182),"Urlaub unter gesetzl. Minimum; ","")&amp;IF(AND(ISNUMBER(AC182),ISNUMBER(AF182),ABS(N(AC182)-N(AF182))&gt;0.01),"Wochenstd. weichen vom Modell ab; ","")&amp;IF(AND(AI182="Ja",OR(AJ182="",AK182="")),"Kontogrenzen fehlen; ","")&amp;IF(AND(AL182="Mit Gehalt abgegolten (Pauschale)",AM182=""),"Überstunden-Pauschale fehlt; ",""))="","OK",IF(OR(B182="",C182="",F182="",N182="",Q182="",AB182="",AC182="",AD182="",AU182=""),"Pflichtfelder fehlen; ","")&amp;IF(AND(ISNUMBER(AC182),AC182&gt;P_MaxWoche),"Wochenstunden &gt; Prüfgrenze; ","")&amp;IF(AND(BF182="Ja",ISNUMBER(AC182),AC182&gt;P_MaxWocheJugend),"Jugendlicher &gt; 40 h/Woche; ","")&amp;IF(AND(ISNUMBER(BD182),BD182&lt;P_Mindestlohn,Q182&lt;&gt;"Auszubildende/r",Q182&lt;&gt;"Praktikant/in"),"Mindestlohn unterschritten?; ","")&amp;IF(AND(Q182="Minijob (geringfügig)",ISNUMBER(BB182),BB182&gt;P_Minijob),"Minijob-Grenze überschritten; ","")&amp;IF(AND(R182="Ja",S182=""),"Befristung ohne Enddatum; ","")&amp;IF(AND(ISNUMBER(O182),ISNUMBER(N182),O182&lt;N182),"Austritt vor Eintritt; ","")&amp;IF(AND(ISNUMBER(AU182),ISNUMBER(AV182),AU182&lt;AV182),"Urlaub unter gesetzl. Minimum; ","")&amp;IF(AND(ISNUMBER(AC182),ISNUMBER(AF182),ABS(N(AC182)-N(AF182))&gt;0.01),"Wochenstd. weichen vom Modell ab; ","")&amp;IF(AND(AI182="Ja",OR(AJ182="",AK182="")),"Kontogrenzen fehlen; ","")&amp;IF(AND(AL182="Mit Gehalt abgegolten (Pauschale)",AM182=""),"Überstunden-Pauschale fehlt; ","")))</f>
        <v/>
      </c>
      <c r="BH182" s="38"/>
    </row>
    <row r="183" customFormat="false" ht="15" hidden="false" customHeight="false" outlineLevel="0" collapsed="false">
      <c r="A183" s="37"/>
      <c r="B183" s="38"/>
      <c r="C183" s="38"/>
      <c r="D183" s="38"/>
      <c r="E183" s="38"/>
      <c r="F183" s="39"/>
      <c r="G183" s="38"/>
      <c r="H183" s="38"/>
      <c r="I183" s="37"/>
      <c r="J183" s="38"/>
      <c r="K183" s="38"/>
      <c r="L183" s="38"/>
      <c r="M183" s="38"/>
      <c r="N183" s="39"/>
      <c r="O183" s="39"/>
      <c r="P183" s="38"/>
      <c r="Q183" s="38"/>
      <c r="R183" s="38"/>
      <c r="S183" s="39"/>
      <c r="T183" s="39"/>
      <c r="U183" s="38"/>
      <c r="V183" s="38"/>
      <c r="W183" s="37"/>
      <c r="X183" s="38"/>
      <c r="Y183" s="38"/>
      <c r="Z183" s="37"/>
      <c r="AA183" s="38"/>
      <c r="AB183" s="38"/>
      <c r="AC183" s="40"/>
      <c r="AD183" s="41"/>
      <c r="AE183" s="42" t="str">
        <f aca="false">IF(OR(A183="",NOT(ISNUMBER(AC183)),NOT(ISNUMBER(AD183))),"",IF(AD183&gt;0,AC183/AD183,""))</f>
        <v/>
      </c>
      <c r="AF183" s="42" t="str">
        <f aca="false">IF(OR(A183="",AB183=""),"",IFERROR(INDEX(Arbeitszeitmodelle!$C$5:$C$34,MATCH(AB183,Arbeitszeitmodelle!$A$5:$A$34,0)),""))</f>
        <v/>
      </c>
      <c r="AG183" s="38"/>
      <c r="AH183" s="38"/>
      <c r="AI183" s="38"/>
      <c r="AJ183" s="41"/>
      <c r="AK183" s="41"/>
      <c r="AL183" s="38"/>
      <c r="AM183" s="41"/>
      <c r="AN183" s="38"/>
      <c r="AO183" s="38"/>
      <c r="AP183" s="38"/>
      <c r="AQ183" s="38"/>
      <c r="AR183" s="41"/>
      <c r="AS183" s="40"/>
      <c r="AT183" s="39"/>
      <c r="AU183" s="41"/>
      <c r="AV183" s="43" t="str">
        <f aca="false">IF(OR(A183="",NOT(ISNUMBER(AD183))),"",P_MinUrlaubWerktage/6*AD183)</f>
        <v/>
      </c>
      <c r="AW183" s="43" t="str">
        <f aca="false">IF(A183="","",IF(M183="Ja",P_ZusatzSB*IF(ISNUMBER(AD183),AD183,5)/5,0))</f>
        <v/>
      </c>
      <c r="AX183" s="41"/>
      <c r="AY183" s="39"/>
      <c r="AZ183" s="43" t="str">
        <f aca="false">IF(OR(A183="",NOT(ISNUMBER(AU183))),"",SUM(AU183,AW183,AX183))</f>
        <v/>
      </c>
      <c r="BA183" s="38"/>
      <c r="BB183" s="44"/>
      <c r="BC183" s="44"/>
      <c r="BD183" s="45" t="str">
        <f aca="false">IF(A183="","",IF(BA183="Stundenlohn",IF(ISNUMBER(BC183),BC183,""),IF(AND(ISNUMBER(BB183),ISNUMBER(AC183)),IF(AC183&gt;0,BB183*12/(AC183*52),""),"")))</f>
        <v/>
      </c>
      <c r="BE183" s="46" t="str">
        <f aca="false">IF(OR(A183="",NOT(ISNUMBER(F183))),"",IFERROR(DATEDIF(F183,P_Stichtag,"Y"),""))</f>
        <v/>
      </c>
      <c r="BF183" s="47" t="str">
        <f aca="false">IF(OR(A183="",NOT(ISNUMBER(BE183))),"",IF(BE183&lt;18,"Ja","Nein"))</f>
        <v/>
      </c>
      <c r="BG183" s="48" t="str">
        <f aca="false">IF(A183="","",IF((IF(OR(B183="",C183="",F183="",N183="",Q183="",AB183="",AC183="",AD183="",AU183=""),"Pflichtfelder fehlen; ","")&amp;IF(AND(ISNUMBER(AC183),AC183&gt;P_MaxWoche),"Wochenstunden &gt; Prüfgrenze; ","")&amp;IF(AND(BF183="Ja",ISNUMBER(AC183),AC183&gt;P_MaxWocheJugend),"Jugendlicher &gt; 40 h/Woche; ","")&amp;IF(AND(ISNUMBER(BD183),BD183&lt;P_Mindestlohn,Q183&lt;&gt;"Auszubildende/r",Q183&lt;&gt;"Praktikant/in"),"Mindestlohn unterschritten?; ","")&amp;IF(AND(Q183="Minijob (geringfügig)",ISNUMBER(BB183),BB183&gt;P_Minijob),"Minijob-Grenze überschritten; ","")&amp;IF(AND(R183="Ja",S183=""),"Befristung ohne Enddatum; ","")&amp;IF(AND(ISNUMBER(O183),ISNUMBER(N183),O183&lt;N183),"Austritt vor Eintritt; ","")&amp;IF(AND(ISNUMBER(AU183),ISNUMBER(AV183),AU183&lt;AV183),"Urlaub unter gesetzl. Minimum; ","")&amp;IF(AND(ISNUMBER(AC183),ISNUMBER(AF183),ABS(N(AC183)-N(AF183))&gt;0.01),"Wochenstd. weichen vom Modell ab; ","")&amp;IF(AND(AI183="Ja",OR(AJ183="",AK183="")),"Kontogrenzen fehlen; ","")&amp;IF(AND(AL183="Mit Gehalt abgegolten (Pauschale)",AM183=""),"Überstunden-Pauschale fehlt; ",""))="","OK",IF(OR(B183="",C183="",F183="",N183="",Q183="",AB183="",AC183="",AD183="",AU183=""),"Pflichtfelder fehlen; ","")&amp;IF(AND(ISNUMBER(AC183),AC183&gt;P_MaxWoche),"Wochenstunden &gt; Prüfgrenze; ","")&amp;IF(AND(BF183="Ja",ISNUMBER(AC183),AC183&gt;P_MaxWocheJugend),"Jugendlicher &gt; 40 h/Woche; ","")&amp;IF(AND(ISNUMBER(BD183),BD183&lt;P_Mindestlohn,Q183&lt;&gt;"Auszubildende/r",Q183&lt;&gt;"Praktikant/in"),"Mindestlohn unterschritten?; ","")&amp;IF(AND(Q183="Minijob (geringfügig)",ISNUMBER(BB183),BB183&gt;P_Minijob),"Minijob-Grenze überschritten; ","")&amp;IF(AND(R183="Ja",S183=""),"Befristung ohne Enddatum; ","")&amp;IF(AND(ISNUMBER(O183),ISNUMBER(N183),O183&lt;N183),"Austritt vor Eintritt; ","")&amp;IF(AND(ISNUMBER(AU183),ISNUMBER(AV183),AU183&lt;AV183),"Urlaub unter gesetzl. Minimum; ","")&amp;IF(AND(ISNUMBER(AC183),ISNUMBER(AF183),ABS(N(AC183)-N(AF183))&gt;0.01),"Wochenstd. weichen vom Modell ab; ","")&amp;IF(AND(AI183="Ja",OR(AJ183="",AK183="")),"Kontogrenzen fehlen; ","")&amp;IF(AND(AL183="Mit Gehalt abgegolten (Pauschale)",AM183=""),"Überstunden-Pauschale fehlt; ","")))</f>
        <v/>
      </c>
      <c r="BH183" s="38"/>
    </row>
    <row r="184" customFormat="false" ht="15" hidden="false" customHeight="false" outlineLevel="0" collapsed="false">
      <c r="A184" s="37"/>
      <c r="B184" s="38"/>
      <c r="C184" s="38"/>
      <c r="D184" s="38"/>
      <c r="E184" s="38"/>
      <c r="F184" s="39"/>
      <c r="G184" s="38"/>
      <c r="H184" s="38"/>
      <c r="I184" s="37"/>
      <c r="J184" s="38"/>
      <c r="K184" s="38"/>
      <c r="L184" s="38"/>
      <c r="M184" s="38"/>
      <c r="N184" s="39"/>
      <c r="O184" s="39"/>
      <c r="P184" s="38"/>
      <c r="Q184" s="38"/>
      <c r="R184" s="38"/>
      <c r="S184" s="39"/>
      <c r="T184" s="39"/>
      <c r="U184" s="38"/>
      <c r="V184" s="38"/>
      <c r="W184" s="37"/>
      <c r="X184" s="38"/>
      <c r="Y184" s="38"/>
      <c r="Z184" s="37"/>
      <c r="AA184" s="38"/>
      <c r="AB184" s="38"/>
      <c r="AC184" s="40"/>
      <c r="AD184" s="41"/>
      <c r="AE184" s="42" t="str">
        <f aca="false">IF(OR(A184="",NOT(ISNUMBER(AC184)),NOT(ISNUMBER(AD184))),"",IF(AD184&gt;0,AC184/AD184,""))</f>
        <v/>
      </c>
      <c r="AF184" s="42" t="str">
        <f aca="false">IF(OR(A184="",AB184=""),"",IFERROR(INDEX(Arbeitszeitmodelle!$C$5:$C$34,MATCH(AB184,Arbeitszeitmodelle!$A$5:$A$34,0)),""))</f>
        <v/>
      </c>
      <c r="AG184" s="38"/>
      <c r="AH184" s="38"/>
      <c r="AI184" s="38"/>
      <c r="AJ184" s="41"/>
      <c r="AK184" s="41"/>
      <c r="AL184" s="38"/>
      <c r="AM184" s="41"/>
      <c r="AN184" s="38"/>
      <c r="AO184" s="38"/>
      <c r="AP184" s="38"/>
      <c r="AQ184" s="38"/>
      <c r="AR184" s="41"/>
      <c r="AS184" s="40"/>
      <c r="AT184" s="39"/>
      <c r="AU184" s="41"/>
      <c r="AV184" s="43" t="str">
        <f aca="false">IF(OR(A184="",NOT(ISNUMBER(AD184))),"",P_MinUrlaubWerktage/6*AD184)</f>
        <v/>
      </c>
      <c r="AW184" s="43" t="str">
        <f aca="false">IF(A184="","",IF(M184="Ja",P_ZusatzSB*IF(ISNUMBER(AD184),AD184,5)/5,0))</f>
        <v/>
      </c>
      <c r="AX184" s="41"/>
      <c r="AY184" s="39"/>
      <c r="AZ184" s="43" t="str">
        <f aca="false">IF(OR(A184="",NOT(ISNUMBER(AU184))),"",SUM(AU184,AW184,AX184))</f>
        <v/>
      </c>
      <c r="BA184" s="38"/>
      <c r="BB184" s="44"/>
      <c r="BC184" s="44"/>
      <c r="BD184" s="45" t="str">
        <f aca="false">IF(A184="","",IF(BA184="Stundenlohn",IF(ISNUMBER(BC184),BC184,""),IF(AND(ISNUMBER(BB184),ISNUMBER(AC184)),IF(AC184&gt;0,BB184*12/(AC184*52),""),"")))</f>
        <v/>
      </c>
      <c r="BE184" s="46" t="str">
        <f aca="false">IF(OR(A184="",NOT(ISNUMBER(F184))),"",IFERROR(DATEDIF(F184,P_Stichtag,"Y"),""))</f>
        <v/>
      </c>
      <c r="BF184" s="47" t="str">
        <f aca="false">IF(OR(A184="",NOT(ISNUMBER(BE184))),"",IF(BE184&lt;18,"Ja","Nein"))</f>
        <v/>
      </c>
      <c r="BG184" s="48" t="str">
        <f aca="false">IF(A184="","",IF((IF(OR(B184="",C184="",F184="",N184="",Q184="",AB184="",AC184="",AD184="",AU184=""),"Pflichtfelder fehlen; ","")&amp;IF(AND(ISNUMBER(AC184),AC184&gt;P_MaxWoche),"Wochenstunden &gt; Prüfgrenze; ","")&amp;IF(AND(BF184="Ja",ISNUMBER(AC184),AC184&gt;P_MaxWocheJugend),"Jugendlicher &gt; 40 h/Woche; ","")&amp;IF(AND(ISNUMBER(BD184),BD184&lt;P_Mindestlohn,Q184&lt;&gt;"Auszubildende/r",Q184&lt;&gt;"Praktikant/in"),"Mindestlohn unterschritten?; ","")&amp;IF(AND(Q184="Minijob (geringfügig)",ISNUMBER(BB184),BB184&gt;P_Minijob),"Minijob-Grenze überschritten; ","")&amp;IF(AND(R184="Ja",S184=""),"Befristung ohne Enddatum; ","")&amp;IF(AND(ISNUMBER(O184),ISNUMBER(N184),O184&lt;N184),"Austritt vor Eintritt; ","")&amp;IF(AND(ISNUMBER(AU184),ISNUMBER(AV184),AU184&lt;AV184),"Urlaub unter gesetzl. Minimum; ","")&amp;IF(AND(ISNUMBER(AC184),ISNUMBER(AF184),ABS(N(AC184)-N(AF184))&gt;0.01),"Wochenstd. weichen vom Modell ab; ","")&amp;IF(AND(AI184="Ja",OR(AJ184="",AK184="")),"Kontogrenzen fehlen; ","")&amp;IF(AND(AL184="Mit Gehalt abgegolten (Pauschale)",AM184=""),"Überstunden-Pauschale fehlt; ",""))="","OK",IF(OR(B184="",C184="",F184="",N184="",Q184="",AB184="",AC184="",AD184="",AU184=""),"Pflichtfelder fehlen; ","")&amp;IF(AND(ISNUMBER(AC184),AC184&gt;P_MaxWoche),"Wochenstunden &gt; Prüfgrenze; ","")&amp;IF(AND(BF184="Ja",ISNUMBER(AC184),AC184&gt;P_MaxWocheJugend),"Jugendlicher &gt; 40 h/Woche; ","")&amp;IF(AND(ISNUMBER(BD184),BD184&lt;P_Mindestlohn,Q184&lt;&gt;"Auszubildende/r",Q184&lt;&gt;"Praktikant/in"),"Mindestlohn unterschritten?; ","")&amp;IF(AND(Q184="Minijob (geringfügig)",ISNUMBER(BB184),BB184&gt;P_Minijob),"Minijob-Grenze überschritten; ","")&amp;IF(AND(R184="Ja",S184=""),"Befristung ohne Enddatum; ","")&amp;IF(AND(ISNUMBER(O184),ISNUMBER(N184),O184&lt;N184),"Austritt vor Eintritt; ","")&amp;IF(AND(ISNUMBER(AU184),ISNUMBER(AV184),AU184&lt;AV184),"Urlaub unter gesetzl. Minimum; ","")&amp;IF(AND(ISNUMBER(AC184),ISNUMBER(AF184),ABS(N(AC184)-N(AF184))&gt;0.01),"Wochenstd. weichen vom Modell ab; ","")&amp;IF(AND(AI184="Ja",OR(AJ184="",AK184="")),"Kontogrenzen fehlen; ","")&amp;IF(AND(AL184="Mit Gehalt abgegolten (Pauschale)",AM184=""),"Überstunden-Pauschale fehlt; ","")))</f>
        <v/>
      </c>
      <c r="BH184" s="38"/>
    </row>
    <row r="185" customFormat="false" ht="15" hidden="false" customHeight="false" outlineLevel="0" collapsed="false">
      <c r="A185" s="37"/>
      <c r="B185" s="38"/>
      <c r="C185" s="38"/>
      <c r="D185" s="38"/>
      <c r="E185" s="38"/>
      <c r="F185" s="39"/>
      <c r="G185" s="38"/>
      <c r="H185" s="38"/>
      <c r="I185" s="37"/>
      <c r="J185" s="38"/>
      <c r="K185" s="38"/>
      <c r="L185" s="38"/>
      <c r="M185" s="38"/>
      <c r="N185" s="39"/>
      <c r="O185" s="39"/>
      <c r="P185" s="38"/>
      <c r="Q185" s="38"/>
      <c r="R185" s="38"/>
      <c r="S185" s="39"/>
      <c r="T185" s="39"/>
      <c r="U185" s="38"/>
      <c r="V185" s="38"/>
      <c r="W185" s="37"/>
      <c r="X185" s="38"/>
      <c r="Y185" s="38"/>
      <c r="Z185" s="37"/>
      <c r="AA185" s="38"/>
      <c r="AB185" s="38"/>
      <c r="AC185" s="40"/>
      <c r="AD185" s="41"/>
      <c r="AE185" s="42" t="str">
        <f aca="false">IF(OR(A185="",NOT(ISNUMBER(AC185)),NOT(ISNUMBER(AD185))),"",IF(AD185&gt;0,AC185/AD185,""))</f>
        <v/>
      </c>
      <c r="AF185" s="42" t="str">
        <f aca="false">IF(OR(A185="",AB185=""),"",IFERROR(INDEX(Arbeitszeitmodelle!$C$5:$C$34,MATCH(AB185,Arbeitszeitmodelle!$A$5:$A$34,0)),""))</f>
        <v/>
      </c>
      <c r="AG185" s="38"/>
      <c r="AH185" s="38"/>
      <c r="AI185" s="38"/>
      <c r="AJ185" s="41"/>
      <c r="AK185" s="41"/>
      <c r="AL185" s="38"/>
      <c r="AM185" s="41"/>
      <c r="AN185" s="38"/>
      <c r="AO185" s="38"/>
      <c r="AP185" s="38"/>
      <c r="AQ185" s="38"/>
      <c r="AR185" s="41"/>
      <c r="AS185" s="40"/>
      <c r="AT185" s="39"/>
      <c r="AU185" s="41"/>
      <c r="AV185" s="43" t="str">
        <f aca="false">IF(OR(A185="",NOT(ISNUMBER(AD185))),"",P_MinUrlaubWerktage/6*AD185)</f>
        <v/>
      </c>
      <c r="AW185" s="43" t="str">
        <f aca="false">IF(A185="","",IF(M185="Ja",P_ZusatzSB*IF(ISNUMBER(AD185),AD185,5)/5,0))</f>
        <v/>
      </c>
      <c r="AX185" s="41"/>
      <c r="AY185" s="39"/>
      <c r="AZ185" s="43" t="str">
        <f aca="false">IF(OR(A185="",NOT(ISNUMBER(AU185))),"",SUM(AU185,AW185,AX185))</f>
        <v/>
      </c>
      <c r="BA185" s="38"/>
      <c r="BB185" s="44"/>
      <c r="BC185" s="44"/>
      <c r="BD185" s="45" t="str">
        <f aca="false">IF(A185="","",IF(BA185="Stundenlohn",IF(ISNUMBER(BC185),BC185,""),IF(AND(ISNUMBER(BB185),ISNUMBER(AC185)),IF(AC185&gt;0,BB185*12/(AC185*52),""),"")))</f>
        <v/>
      </c>
      <c r="BE185" s="46" t="str">
        <f aca="false">IF(OR(A185="",NOT(ISNUMBER(F185))),"",IFERROR(DATEDIF(F185,P_Stichtag,"Y"),""))</f>
        <v/>
      </c>
      <c r="BF185" s="47" t="str">
        <f aca="false">IF(OR(A185="",NOT(ISNUMBER(BE185))),"",IF(BE185&lt;18,"Ja","Nein"))</f>
        <v/>
      </c>
      <c r="BG185" s="48" t="str">
        <f aca="false">IF(A185="","",IF((IF(OR(B185="",C185="",F185="",N185="",Q185="",AB185="",AC185="",AD185="",AU185=""),"Pflichtfelder fehlen; ","")&amp;IF(AND(ISNUMBER(AC185),AC185&gt;P_MaxWoche),"Wochenstunden &gt; Prüfgrenze; ","")&amp;IF(AND(BF185="Ja",ISNUMBER(AC185),AC185&gt;P_MaxWocheJugend),"Jugendlicher &gt; 40 h/Woche; ","")&amp;IF(AND(ISNUMBER(BD185),BD185&lt;P_Mindestlohn,Q185&lt;&gt;"Auszubildende/r",Q185&lt;&gt;"Praktikant/in"),"Mindestlohn unterschritten?; ","")&amp;IF(AND(Q185="Minijob (geringfügig)",ISNUMBER(BB185),BB185&gt;P_Minijob),"Minijob-Grenze überschritten; ","")&amp;IF(AND(R185="Ja",S185=""),"Befristung ohne Enddatum; ","")&amp;IF(AND(ISNUMBER(O185),ISNUMBER(N185),O185&lt;N185),"Austritt vor Eintritt; ","")&amp;IF(AND(ISNUMBER(AU185),ISNUMBER(AV185),AU185&lt;AV185),"Urlaub unter gesetzl. Minimum; ","")&amp;IF(AND(ISNUMBER(AC185),ISNUMBER(AF185),ABS(N(AC185)-N(AF185))&gt;0.01),"Wochenstd. weichen vom Modell ab; ","")&amp;IF(AND(AI185="Ja",OR(AJ185="",AK185="")),"Kontogrenzen fehlen; ","")&amp;IF(AND(AL185="Mit Gehalt abgegolten (Pauschale)",AM185=""),"Überstunden-Pauschale fehlt; ",""))="","OK",IF(OR(B185="",C185="",F185="",N185="",Q185="",AB185="",AC185="",AD185="",AU185=""),"Pflichtfelder fehlen; ","")&amp;IF(AND(ISNUMBER(AC185),AC185&gt;P_MaxWoche),"Wochenstunden &gt; Prüfgrenze; ","")&amp;IF(AND(BF185="Ja",ISNUMBER(AC185),AC185&gt;P_MaxWocheJugend),"Jugendlicher &gt; 40 h/Woche; ","")&amp;IF(AND(ISNUMBER(BD185),BD185&lt;P_Mindestlohn,Q185&lt;&gt;"Auszubildende/r",Q185&lt;&gt;"Praktikant/in"),"Mindestlohn unterschritten?; ","")&amp;IF(AND(Q185="Minijob (geringfügig)",ISNUMBER(BB185),BB185&gt;P_Minijob),"Minijob-Grenze überschritten; ","")&amp;IF(AND(R185="Ja",S185=""),"Befristung ohne Enddatum; ","")&amp;IF(AND(ISNUMBER(O185),ISNUMBER(N185),O185&lt;N185),"Austritt vor Eintritt; ","")&amp;IF(AND(ISNUMBER(AU185),ISNUMBER(AV185),AU185&lt;AV185),"Urlaub unter gesetzl. Minimum; ","")&amp;IF(AND(ISNUMBER(AC185),ISNUMBER(AF185),ABS(N(AC185)-N(AF185))&gt;0.01),"Wochenstd. weichen vom Modell ab; ","")&amp;IF(AND(AI185="Ja",OR(AJ185="",AK185="")),"Kontogrenzen fehlen; ","")&amp;IF(AND(AL185="Mit Gehalt abgegolten (Pauschale)",AM185=""),"Überstunden-Pauschale fehlt; ","")))</f>
        <v/>
      </c>
      <c r="BH185" s="38"/>
    </row>
    <row r="186" customFormat="false" ht="15" hidden="false" customHeight="false" outlineLevel="0" collapsed="false">
      <c r="A186" s="37"/>
      <c r="B186" s="38"/>
      <c r="C186" s="38"/>
      <c r="D186" s="38"/>
      <c r="E186" s="38"/>
      <c r="F186" s="39"/>
      <c r="G186" s="38"/>
      <c r="H186" s="38"/>
      <c r="I186" s="37"/>
      <c r="J186" s="38"/>
      <c r="K186" s="38"/>
      <c r="L186" s="38"/>
      <c r="M186" s="38"/>
      <c r="N186" s="39"/>
      <c r="O186" s="39"/>
      <c r="P186" s="38"/>
      <c r="Q186" s="38"/>
      <c r="R186" s="38"/>
      <c r="S186" s="39"/>
      <c r="T186" s="39"/>
      <c r="U186" s="38"/>
      <c r="V186" s="38"/>
      <c r="W186" s="37"/>
      <c r="X186" s="38"/>
      <c r="Y186" s="38"/>
      <c r="Z186" s="37"/>
      <c r="AA186" s="38"/>
      <c r="AB186" s="38"/>
      <c r="AC186" s="40"/>
      <c r="AD186" s="41"/>
      <c r="AE186" s="42" t="str">
        <f aca="false">IF(OR(A186="",NOT(ISNUMBER(AC186)),NOT(ISNUMBER(AD186))),"",IF(AD186&gt;0,AC186/AD186,""))</f>
        <v/>
      </c>
      <c r="AF186" s="42" t="str">
        <f aca="false">IF(OR(A186="",AB186=""),"",IFERROR(INDEX(Arbeitszeitmodelle!$C$5:$C$34,MATCH(AB186,Arbeitszeitmodelle!$A$5:$A$34,0)),""))</f>
        <v/>
      </c>
      <c r="AG186" s="38"/>
      <c r="AH186" s="38"/>
      <c r="AI186" s="38"/>
      <c r="AJ186" s="41"/>
      <c r="AK186" s="41"/>
      <c r="AL186" s="38"/>
      <c r="AM186" s="41"/>
      <c r="AN186" s="38"/>
      <c r="AO186" s="38"/>
      <c r="AP186" s="38"/>
      <c r="AQ186" s="38"/>
      <c r="AR186" s="41"/>
      <c r="AS186" s="40"/>
      <c r="AT186" s="39"/>
      <c r="AU186" s="41"/>
      <c r="AV186" s="43" t="str">
        <f aca="false">IF(OR(A186="",NOT(ISNUMBER(AD186))),"",P_MinUrlaubWerktage/6*AD186)</f>
        <v/>
      </c>
      <c r="AW186" s="43" t="str">
        <f aca="false">IF(A186="","",IF(M186="Ja",P_ZusatzSB*IF(ISNUMBER(AD186),AD186,5)/5,0))</f>
        <v/>
      </c>
      <c r="AX186" s="41"/>
      <c r="AY186" s="39"/>
      <c r="AZ186" s="43" t="str">
        <f aca="false">IF(OR(A186="",NOT(ISNUMBER(AU186))),"",SUM(AU186,AW186,AX186))</f>
        <v/>
      </c>
      <c r="BA186" s="38"/>
      <c r="BB186" s="44"/>
      <c r="BC186" s="44"/>
      <c r="BD186" s="45" t="str">
        <f aca="false">IF(A186="","",IF(BA186="Stundenlohn",IF(ISNUMBER(BC186),BC186,""),IF(AND(ISNUMBER(BB186),ISNUMBER(AC186)),IF(AC186&gt;0,BB186*12/(AC186*52),""),"")))</f>
        <v/>
      </c>
      <c r="BE186" s="46" t="str">
        <f aca="false">IF(OR(A186="",NOT(ISNUMBER(F186))),"",IFERROR(DATEDIF(F186,P_Stichtag,"Y"),""))</f>
        <v/>
      </c>
      <c r="BF186" s="47" t="str">
        <f aca="false">IF(OR(A186="",NOT(ISNUMBER(BE186))),"",IF(BE186&lt;18,"Ja","Nein"))</f>
        <v/>
      </c>
      <c r="BG186" s="48" t="str">
        <f aca="false">IF(A186="","",IF((IF(OR(B186="",C186="",F186="",N186="",Q186="",AB186="",AC186="",AD186="",AU186=""),"Pflichtfelder fehlen; ","")&amp;IF(AND(ISNUMBER(AC186),AC186&gt;P_MaxWoche),"Wochenstunden &gt; Prüfgrenze; ","")&amp;IF(AND(BF186="Ja",ISNUMBER(AC186),AC186&gt;P_MaxWocheJugend),"Jugendlicher &gt; 40 h/Woche; ","")&amp;IF(AND(ISNUMBER(BD186),BD186&lt;P_Mindestlohn,Q186&lt;&gt;"Auszubildende/r",Q186&lt;&gt;"Praktikant/in"),"Mindestlohn unterschritten?; ","")&amp;IF(AND(Q186="Minijob (geringfügig)",ISNUMBER(BB186),BB186&gt;P_Minijob),"Minijob-Grenze überschritten; ","")&amp;IF(AND(R186="Ja",S186=""),"Befristung ohne Enddatum; ","")&amp;IF(AND(ISNUMBER(O186),ISNUMBER(N186),O186&lt;N186),"Austritt vor Eintritt; ","")&amp;IF(AND(ISNUMBER(AU186),ISNUMBER(AV186),AU186&lt;AV186),"Urlaub unter gesetzl. Minimum; ","")&amp;IF(AND(ISNUMBER(AC186),ISNUMBER(AF186),ABS(N(AC186)-N(AF186))&gt;0.01),"Wochenstd. weichen vom Modell ab; ","")&amp;IF(AND(AI186="Ja",OR(AJ186="",AK186="")),"Kontogrenzen fehlen; ","")&amp;IF(AND(AL186="Mit Gehalt abgegolten (Pauschale)",AM186=""),"Überstunden-Pauschale fehlt; ",""))="","OK",IF(OR(B186="",C186="",F186="",N186="",Q186="",AB186="",AC186="",AD186="",AU186=""),"Pflichtfelder fehlen; ","")&amp;IF(AND(ISNUMBER(AC186),AC186&gt;P_MaxWoche),"Wochenstunden &gt; Prüfgrenze; ","")&amp;IF(AND(BF186="Ja",ISNUMBER(AC186),AC186&gt;P_MaxWocheJugend),"Jugendlicher &gt; 40 h/Woche; ","")&amp;IF(AND(ISNUMBER(BD186),BD186&lt;P_Mindestlohn,Q186&lt;&gt;"Auszubildende/r",Q186&lt;&gt;"Praktikant/in"),"Mindestlohn unterschritten?; ","")&amp;IF(AND(Q186="Minijob (geringfügig)",ISNUMBER(BB186),BB186&gt;P_Minijob),"Minijob-Grenze überschritten; ","")&amp;IF(AND(R186="Ja",S186=""),"Befristung ohne Enddatum; ","")&amp;IF(AND(ISNUMBER(O186),ISNUMBER(N186),O186&lt;N186),"Austritt vor Eintritt; ","")&amp;IF(AND(ISNUMBER(AU186),ISNUMBER(AV186),AU186&lt;AV186),"Urlaub unter gesetzl. Minimum; ","")&amp;IF(AND(ISNUMBER(AC186),ISNUMBER(AF186),ABS(N(AC186)-N(AF186))&gt;0.01),"Wochenstd. weichen vom Modell ab; ","")&amp;IF(AND(AI186="Ja",OR(AJ186="",AK186="")),"Kontogrenzen fehlen; ","")&amp;IF(AND(AL186="Mit Gehalt abgegolten (Pauschale)",AM186=""),"Überstunden-Pauschale fehlt; ","")))</f>
        <v/>
      </c>
      <c r="BH186" s="38"/>
    </row>
    <row r="187" customFormat="false" ht="15" hidden="false" customHeight="false" outlineLevel="0" collapsed="false">
      <c r="A187" s="37"/>
      <c r="B187" s="38"/>
      <c r="C187" s="38"/>
      <c r="D187" s="38"/>
      <c r="E187" s="38"/>
      <c r="F187" s="39"/>
      <c r="G187" s="38"/>
      <c r="H187" s="38"/>
      <c r="I187" s="37"/>
      <c r="J187" s="38"/>
      <c r="K187" s="38"/>
      <c r="L187" s="38"/>
      <c r="M187" s="38"/>
      <c r="N187" s="39"/>
      <c r="O187" s="39"/>
      <c r="P187" s="38"/>
      <c r="Q187" s="38"/>
      <c r="R187" s="38"/>
      <c r="S187" s="39"/>
      <c r="T187" s="39"/>
      <c r="U187" s="38"/>
      <c r="V187" s="38"/>
      <c r="W187" s="37"/>
      <c r="X187" s="38"/>
      <c r="Y187" s="38"/>
      <c r="Z187" s="37"/>
      <c r="AA187" s="38"/>
      <c r="AB187" s="38"/>
      <c r="AC187" s="40"/>
      <c r="AD187" s="41"/>
      <c r="AE187" s="42" t="str">
        <f aca="false">IF(OR(A187="",NOT(ISNUMBER(AC187)),NOT(ISNUMBER(AD187))),"",IF(AD187&gt;0,AC187/AD187,""))</f>
        <v/>
      </c>
      <c r="AF187" s="42" t="str">
        <f aca="false">IF(OR(A187="",AB187=""),"",IFERROR(INDEX(Arbeitszeitmodelle!$C$5:$C$34,MATCH(AB187,Arbeitszeitmodelle!$A$5:$A$34,0)),""))</f>
        <v/>
      </c>
      <c r="AG187" s="38"/>
      <c r="AH187" s="38"/>
      <c r="AI187" s="38"/>
      <c r="AJ187" s="41"/>
      <c r="AK187" s="41"/>
      <c r="AL187" s="38"/>
      <c r="AM187" s="41"/>
      <c r="AN187" s="38"/>
      <c r="AO187" s="38"/>
      <c r="AP187" s="38"/>
      <c r="AQ187" s="38"/>
      <c r="AR187" s="41"/>
      <c r="AS187" s="40"/>
      <c r="AT187" s="39"/>
      <c r="AU187" s="41"/>
      <c r="AV187" s="43" t="str">
        <f aca="false">IF(OR(A187="",NOT(ISNUMBER(AD187))),"",P_MinUrlaubWerktage/6*AD187)</f>
        <v/>
      </c>
      <c r="AW187" s="43" t="str">
        <f aca="false">IF(A187="","",IF(M187="Ja",P_ZusatzSB*IF(ISNUMBER(AD187),AD187,5)/5,0))</f>
        <v/>
      </c>
      <c r="AX187" s="41"/>
      <c r="AY187" s="39"/>
      <c r="AZ187" s="43" t="str">
        <f aca="false">IF(OR(A187="",NOT(ISNUMBER(AU187))),"",SUM(AU187,AW187,AX187))</f>
        <v/>
      </c>
      <c r="BA187" s="38"/>
      <c r="BB187" s="44"/>
      <c r="BC187" s="44"/>
      <c r="BD187" s="45" t="str">
        <f aca="false">IF(A187="","",IF(BA187="Stundenlohn",IF(ISNUMBER(BC187),BC187,""),IF(AND(ISNUMBER(BB187),ISNUMBER(AC187)),IF(AC187&gt;0,BB187*12/(AC187*52),""),"")))</f>
        <v/>
      </c>
      <c r="BE187" s="46" t="str">
        <f aca="false">IF(OR(A187="",NOT(ISNUMBER(F187))),"",IFERROR(DATEDIF(F187,P_Stichtag,"Y"),""))</f>
        <v/>
      </c>
      <c r="BF187" s="47" t="str">
        <f aca="false">IF(OR(A187="",NOT(ISNUMBER(BE187))),"",IF(BE187&lt;18,"Ja","Nein"))</f>
        <v/>
      </c>
      <c r="BG187" s="48" t="str">
        <f aca="false">IF(A187="","",IF((IF(OR(B187="",C187="",F187="",N187="",Q187="",AB187="",AC187="",AD187="",AU187=""),"Pflichtfelder fehlen; ","")&amp;IF(AND(ISNUMBER(AC187),AC187&gt;P_MaxWoche),"Wochenstunden &gt; Prüfgrenze; ","")&amp;IF(AND(BF187="Ja",ISNUMBER(AC187),AC187&gt;P_MaxWocheJugend),"Jugendlicher &gt; 40 h/Woche; ","")&amp;IF(AND(ISNUMBER(BD187),BD187&lt;P_Mindestlohn,Q187&lt;&gt;"Auszubildende/r",Q187&lt;&gt;"Praktikant/in"),"Mindestlohn unterschritten?; ","")&amp;IF(AND(Q187="Minijob (geringfügig)",ISNUMBER(BB187),BB187&gt;P_Minijob),"Minijob-Grenze überschritten; ","")&amp;IF(AND(R187="Ja",S187=""),"Befristung ohne Enddatum; ","")&amp;IF(AND(ISNUMBER(O187),ISNUMBER(N187),O187&lt;N187),"Austritt vor Eintritt; ","")&amp;IF(AND(ISNUMBER(AU187),ISNUMBER(AV187),AU187&lt;AV187),"Urlaub unter gesetzl. Minimum; ","")&amp;IF(AND(ISNUMBER(AC187),ISNUMBER(AF187),ABS(N(AC187)-N(AF187))&gt;0.01),"Wochenstd. weichen vom Modell ab; ","")&amp;IF(AND(AI187="Ja",OR(AJ187="",AK187="")),"Kontogrenzen fehlen; ","")&amp;IF(AND(AL187="Mit Gehalt abgegolten (Pauschale)",AM187=""),"Überstunden-Pauschale fehlt; ",""))="","OK",IF(OR(B187="",C187="",F187="",N187="",Q187="",AB187="",AC187="",AD187="",AU187=""),"Pflichtfelder fehlen; ","")&amp;IF(AND(ISNUMBER(AC187),AC187&gt;P_MaxWoche),"Wochenstunden &gt; Prüfgrenze; ","")&amp;IF(AND(BF187="Ja",ISNUMBER(AC187),AC187&gt;P_MaxWocheJugend),"Jugendlicher &gt; 40 h/Woche; ","")&amp;IF(AND(ISNUMBER(BD187),BD187&lt;P_Mindestlohn,Q187&lt;&gt;"Auszubildende/r",Q187&lt;&gt;"Praktikant/in"),"Mindestlohn unterschritten?; ","")&amp;IF(AND(Q187="Minijob (geringfügig)",ISNUMBER(BB187),BB187&gt;P_Minijob),"Minijob-Grenze überschritten; ","")&amp;IF(AND(R187="Ja",S187=""),"Befristung ohne Enddatum; ","")&amp;IF(AND(ISNUMBER(O187),ISNUMBER(N187),O187&lt;N187),"Austritt vor Eintritt; ","")&amp;IF(AND(ISNUMBER(AU187),ISNUMBER(AV187),AU187&lt;AV187),"Urlaub unter gesetzl. Minimum; ","")&amp;IF(AND(ISNUMBER(AC187),ISNUMBER(AF187),ABS(N(AC187)-N(AF187))&gt;0.01),"Wochenstd. weichen vom Modell ab; ","")&amp;IF(AND(AI187="Ja",OR(AJ187="",AK187="")),"Kontogrenzen fehlen; ","")&amp;IF(AND(AL187="Mit Gehalt abgegolten (Pauschale)",AM187=""),"Überstunden-Pauschale fehlt; ","")))</f>
        <v/>
      </c>
      <c r="BH187" s="38"/>
    </row>
    <row r="188" customFormat="false" ht="15" hidden="false" customHeight="false" outlineLevel="0" collapsed="false">
      <c r="A188" s="37"/>
      <c r="B188" s="38"/>
      <c r="C188" s="38"/>
      <c r="D188" s="38"/>
      <c r="E188" s="38"/>
      <c r="F188" s="39"/>
      <c r="G188" s="38"/>
      <c r="H188" s="38"/>
      <c r="I188" s="37"/>
      <c r="J188" s="38"/>
      <c r="K188" s="38"/>
      <c r="L188" s="38"/>
      <c r="M188" s="38"/>
      <c r="N188" s="39"/>
      <c r="O188" s="39"/>
      <c r="P188" s="38"/>
      <c r="Q188" s="38"/>
      <c r="R188" s="38"/>
      <c r="S188" s="39"/>
      <c r="T188" s="39"/>
      <c r="U188" s="38"/>
      <c r="V188" s="38"/>
      <c r="W188" s="37"/>
      <c r="X188" s="38"/>
      <c r="Y188" s="38"/>
      <c r="Z188" s="37"/>
      <c r="AA188" s="38"/>
      <c r="AB188" s="38"/>
      <c r="AC188" s="40"/>
      <c r="AD188" s="41"/>
      <c r="AE188" s="42" t="str">
        <f aca="false">IF(OR(A188="",NOT(ISNUMBER(AC188)),NOT(ISNUMBER(AD188))),"",IF(AD188&gt;0,AC188/AD188,""))</f>
        <v/>
      </c>
      <c r="AF188" s="42" t="str">
        <f aca="false">IF(OR(A188="",AB188=""),"",IFERROR(INDEX(Arbeitszeitmodelle!$C$5:$C$34,MATCH(AB188,Arbeitszeitmodelle!$A$5:$A$34,0)),""))</f>
        <v/>
      </c>
      <c r="AG188" s="38"/>
      <c r="AH188" s="38"/>
      <c r="AI188" s="38"/>
      <c r="AJ188" s="41"/>
      <c r="AK188" s="41"/>
      <c r="AL188" s="38"/>
      <c r="AM188" s="41"/>
      <c r="AN188" s="38"/>
      <c r="AO188" s="38"/>
      <c r="AP188" s="38"/>
      <c r="AQ188" s="38"/>
      <c r="AR188" s="41"/>
      <c r="AS188" s="40"/>
      <c r="AT188" s="39"/>
      <c r="AU188" s="41"/>
      <c r="AV188" s="43" t="str">
        <f aca="false">IF(OR(A188="",NOT(ISNUMBER(AD188))),"",P_MinUrlaubWerktage/6*AD188)</f>
        <v/>
      </c>
      <c r="AW188" s="43" t="str">
        <f aca="false">IF(A188="","",IF(M188="Ja",P_ZusatzSB*IF(ISNUMBER(AD188),AD188,5)/5,0))</f>
        <v/>
      </c>
      <c r="AX188" s="41"/>
      <c r="AY188" s="39"/>
      <c r="AZ188" s="43" t="str">
        <f aca="false">IF(OR(A188="",NOT(ISNUMBER(AU188))),"",SUM(AU188,AW188,AX188))</f>
        <v/>
      </c>
      <c r="BA188" s="38"/>
      <c r="BB188" s="44"/>
      <c r="BC188" s="44"/>
      <c r="BD188" s="45" t="str">
        <f aca="false">IF(A188="","",IF(BA188="Stundenlohn",IF(ISNUMBER(BC188),BC188,""),IF(AND(ISNUMBER(BB188),ISNUMBER(AC188)),IF(AC188&gt;0,BB188*12/(AC188*52),""),"")))</f>
        <v/>
      </c>
      <c r="BE188" s="46" t="str">
        <f aca="false">IF(OR(A188="",NOT(ISNUMBER(F188))),"",IFERROR(DATEDIF(F188,P_Stichtag,"Y"),""))</f>
        <v/>
      </c>
      <c r="BF188" s="47" t="str">
        <f aca="false">IF(OR(A188="",NOT(ISNUMBER(BE188))),"",IF(BE188&lt;18,"Ja","Nein"))</f>
        <v/>
      </c>
      <c r="BG188" s="48" t="str">
        <f aca="false">IF(A188="","",IF((IF(OR(B188="",C188="",F188="",N188="",Q188="",AB188="",AC188="",AD188="",AU188=""),"Pflichtfelder fehlen; ","")&amp;IF(AND(ISNUMBER(AC188),AC188&gt;P_MaxWoche),"Wochenstunden &gt; Prüfgrenze; ","")&amp;IF(AND(BF188="Ja",ISNUMBER(AC188),AC188&gt;P_MaxWocheJugend),"Jugendlicher &gt; 40 h/Woche; ","")&amp;IF(AND(ISNUMBER(BD188),BD188&lt;P_Mindestlohn,Q188&lt;&gt;"Auszubildende/r",Q188&lt;&gt;"Praktikant/in"),"Mindestlohn unterschritten?; ","")&amp;IF(AND(Q188="Minijob (geringfügig)",ISNUMBER(BB188),BB188&gt;P_Minijob),"Minijob-Grenze überschritten; ","")&amp;IF(AND(R188="Ja",S188=""),"Befristung ohne Enddatum; ","")&amp;IF(AND(ISNUMBER(O188),ISNUMBER(N188),O188&lt;N188),"Austritt vor Eintritt; ","")&amp;IF(AND(ISNUMBER(AU188),ISNUMBER(AV188),AU188&lt;AV188),"Urlaub unter gesetzl. Minimum; ","")&amp;IF(AND(ISNUMBER(AC188),ISNUMBER(AF188),ABS(N(AC188)-N(AF188))&gt;0.01),"Wochenstd. weichen vom Modell ab; ","")&amp;IF(AND(AI188="Ja",OR(AJ188="",AK188="")),"Kontogrenzen fehlen; ","")&amp;IF(AND(AL188="Mit Gehalt abgegolten (Pauschale)",AM188=""),"Überstunden-Pauschale fehlt; ",""))="","OK",IF(OR(B188="",C188="",F188="",N188="",Q188="",AB188="",AC188="",AD188="",AU188=""),"Pflichtfelder fehlen; ","")&amp;IF(AND(ISNUMBER(AC188),AC188&gt;P_MaxWoche),"Wochenstunden &gt; Prüfgrenze; ","")&amp;IF(AND(BF188="Ja",ISNUMBER(AC188),AC188&gt;P_MaxWocheJugend),"Jugendlicher &gt; 40 h/Woche; ","")&amp;IF(AND(ISNUMBER(BD188),BD188&lt;P_Mindestlohn,Q188&lt;&gt;"Auszubildende/r",Q188&lt;&gt;"Praktikant/in"),"Mindestlohn unterschritten?; ","")&amp;IF(AND(Q188="Minijob (geringfügig)",ISNUMBER(BB188),BB188&gt;P_Minijob),"Minijob-Grenze überschritten; ","")&amp;IF(AND(R188="Ja",S188=""),"Befristung ohne Enddatum; ","")&amp;IF(AND(ISNUMBER(O188),ISNUMBER(N188),O188&lt;N188),"Austritt vor Eintritt; ","")&amp;IF(AND(ISNUMBER(AU188),ISNUMBER(AV188),AU188&lt;AV188),"Urlaub unter gesetzl. Minimum; ","")&amp;IF(AND(ISNUMBER(AC188),ISNUMBER(AF188),ABS(N(AC188)-N(AF188))&gt;0.01),"Wochenstd. weichen vom Modell ab; ","")&amp;IF(AND(AI188="Ja",OR(AJ188="",AK188="")),"Kontogrenzen fehlen; ","")&amp;IF(AND(AL188="Mit Gehalt abgegolten (Pauschale)",AM188=""),"Überstunden-Pauschale fehlt; ","")))</f>
        <v/>
      </c>
      <c r="BH188" s="38"/>
    </row>
    <row r="189" customFormat="false" ht="15" hidden="false" customHeight="false" outlineLevel="0" collapsed="false">
      <c r="A189" s="37"/>
      <c r="B189" s="38"/>
      <c r="C189" s="38"/>
      <c r="D189" s="38"/>
      <c r="E189" s="38"/>
      <c r="F189" s="39"/>
      <c r="G189" s="38"/>
      <c r="H189" s="38"/>
      <c r="I189" s="37"/>
      <c r="J189" s="38"/>
      <c r="K189" s="38"/>
      <c r="L189" s="38"/>
      <c r="M189" s="38"/>
      <c r="N189" s="39"/>
      <c r="O189" s="39"/>
      <c r="P189" s="38"/>
      <c r="Q189" s="38"/>
      <c r="R189" s="38"/>
      <c r="S189" s="39"/>
      <c r="T189" s="39"/>
      <c r="U189" s="38"/>
      <c r="V189" s="38"/>
      <c r="W189" s="37"/>
      <c r="X189" s="38"/>
      <c r="Y189" s="38"/>
      <c r="Z189" s="37"/>
      <c r="AA189" s="38"/>
      <c r="AB189" s="38"/>
      <c r="AC189" s="40"/>
      <c r="AD189" s="41"/>
      <c r="AE189" s="42" t="str">
        <f aca="false">IF(OR(A189="",NOT(ISNUMBER(AC189)),NOT(ISNUMBER(AD189))),"",IF(AD189&gt;0,AC189/AD189,""))</f>
        <v/>
      </c>
      <c r="AF189" s="42" t="str">
        <f aca="false">IF(OR(A189="",AB189=""),"",IFERROR(INDEX(Arbeitszeitmodelle!$C$5:$C$34,MATCH(AB189,Arbeitszeitmodelle!$A$5:$A$34,0)),""))</f>
        <v/>
      </c>
      <c r="AG189" s="38"/>
      <c r="AH189" s="38"/>
      <c r="AI189" s="38"/>
      <c r="AJ189" s="41"/>
      <c r="AK189" s="41"/>
      <c r="AL189" s="38"/>
      <c r="AM189" s="41"/>
      <c r="AN189" s="38"/>
      <c r="AO189" s="38"/>
      <c r="AP189" s="38"/>
      <c r="AQ189" s="38"/>
      <c r="AR189" s="41"/>
      <c r="AS189" s="40"/>
      <c r="AT189" s="39"/>
      <c r="AU189" s="41"/>
      <c r="AV189" s="43" t="str">
        <f aca="false">IF(OR(A189="",NOT(ISNUMBER(AD189))),"",P_MinUrlaubWerktage/6*AD189)</f>
        <v/>
      </c>
      <c r="AW189" s="43" t="str">
        <f aca="false">IF(A189="","",IF(M189="Ja",P_ZusatzSB*IF(ISNUMBER(AD189),AD189,5)/5,0))</f>
        <v/>
      </c>
      <c r="AX189" s="41"/>
      <c r="AY189" s="39"/>
      <c r="AZ189" s="43" t="str">
        <f aca="false">IF(OR(A189="",NOT(ISNUMBER(AU189))),"",SUM(AU189,AW189,AX189))</f>
        <v/>
      </c>
      <c r="BA189" s="38"/>
      <c r="BB189" s="44"/>
      <c r="BC189" s="44"/>
      <c r="BD189" s="45" t="str">
        <f aca="false">IF(A189="","",IF(BA189="Stundenlohn",IF(ISNUMBER(BC189),BC189,""),IF(AND(ISNUMBER(BB189),ISNUMBER(AC189)),IF(AC189&gt;0,BB189*12/(AC189*52),""),"")))</f>
        <v/>
      </c>
      <c r="BE189" s="46" t="str">
        <f aca="false">IF(OR(A189="",NOT(ISNUMBER(F189))),"",IFERROR(DATEDIF(F189,P_Stichtag,"Y"),""))</f>
        <v/>
      </c>
      <c r="BF189" s="47" t="str">
        <f aca="false">IF(OR(A189="",NOT(ISNUMBER(BE189))),"",IF(BE189&lt;18,"Ja","Nein"))</f>
        <v/>
      </c>
      <c r="BG189" s="48" t="str">
        <f aca="false">IF(A189="","",IF((IF(OR(B189="",C189="",F189="",N189="",Q189="",AB189="",AC189="",AD189="",AU189=""),"Pflichtfelder fehlen; ","")&amp;IF(AND(ISNUMBER(AC189),AC189&gt;P_MaxWoche),"Wochenstunden &gt; Prüfgrenze; ","")&amp;IF(AND(BF189="Ja",ISNUMBER(AC189),AC189&gt;P_MaxWocheJugend),"Jugendlicher &gt; 40 h/Woche; ","")&amp;IF(AND(ISNUMBER(BD189),BD189&lt;P_Mindestlohn,Q189&lt;&gt;"Auszubildende/r",Q189&lt;&gt;"Praktikant/in"),"Mindestlohn unterschritten?; ","")&amp;IF(AND(Q189="Minijob (geringfügig)",ISNUMBER(BB189),BB189&gt;P_Minijob),"Minijob-Grenze überschritten; ","")&amp;IF(AND(R189="Ja",S189=""),"Befristung ohne Enddatum; ","")&amp;IF(AND(ISNUMBER(O189),ISNUMBER(N189),O189&lt;N189),"Austritt vor Eintritt; ","")&amp;IF(AND(ISNUMBER(AU189),ISNUMBER(AV189),AU189&lt;AV189),"Urlaub unter gesetzl. Minimum; ","")&amp;IF(AND(ISNUMBER(AC189),ISNUMBER(AF189),ABS(N(AC189)-N(AF189))&gt;0.01),"Wochenstd. weichen vom Modell ab; ","")&amp;IF(AND(AI189="Ja",OR(AJ189="",AK189="")),"Kontogrenzen fehlen; ","")&amp;IF(AND(AL189="Mit Gehalt abgegolten (Pauschale)",AM189=""),"Überstunden-Pauschale fehlt; ",""))="","OK",IF(OR(B189="",C189="",F189="",N189="",Q189="",AB189="",AC189="",AD189="",AU189=""),"Pflichtfelder fehlen; ","")&amp;IF(AND(ISNUMBER(AC189),AC189&gt;P_MaxWoche),"Wochenstunden &gt; Prüfgrenze; ","")&amp;IF(AND(BF189="Ja",ISNUMBER(AC189),AC189&gt;P_MaxWocheJugend),"Jugendlicher &gt; 40 h/Woche; ","")&amp;IF(AND(ISNUMBER(BD189),BD189&lt;P_Mindestlohn,Q189&lt;&gt;"Auszubildende/r",Q189&lt;&gt;"Praktikant/in"),"Mindestlohn unterschritten?; ","")&amp;IF(AND(Q189="Minijob (geringfügig)",ISNUMBER(BB189),BB189&gt;P_Minijob),"Minijob-Grenze überschritten; ","")&amp;IF(AND(R189="Ja",S189=""),"Befristung ohne Enddatum; ","")&amp;IF(AND(ISNUMBER(O189),ISNUMBER(N189),O189&lt;N189),"Austritt vor Eintritt; ","")&amp;IF(AND(ISNUMBER(AU189),ISNUMBER(AV189),AU189&lt;AV189),"Urlaub unter gesetzl. Minimum; ","")&amp;IF(AND(ISNUMBER(AC189),ISNUMBER(AF189),ABS(N(AC189)-N(AF189))&gt;0.01),"Wochenstd. weichen vom Modell ab; ","")&amp;IF(AND(AI189="Ja",OR(AJ189="",AK189="")),"Kontogrenzen fehlen; ","")&amp;IF(AND(AL189="Mit Gehalt abgegolten (Pauschale)",AM189=""),"Überstunden-Pauschale fehlt; ","")))</f>
        <v/>
      </c>
      <c r="BH189" s="38"/>
    </row>
    <row r="190" customFormat="false" ht="15" hidden="false" customHeight="false" outlineLevel="0" collapsed="false">
      <c r="A190" s="37"/>
      <c r="B190" s="38"/>
      <c r="C190" s="38"/>
      <c r="D190" s="38"/>
      <c r="E190" s="38"/>
      <c r="F190" s="39"/>
      <c r="G190" s="38"/>
      <c r="H190" s="38"/>
      <c r="I190" s="37"/>
      <c r="J190" s="38"/>
      <c r="K190" s="38"/>
      <c r="L190" s="38"/>
      <c r="M190" s="38"/>
      <c r="N190" s="39"/>
      <c r="O190" s="39"/>
      <c r="P190" s="38"/>
      <c r="Q190" s="38"/>
      <c r="R190" s="38"/>
      <c r="S190" s="39"/>
      <c r="T190" s="39"/>
      <c r="U190" s="38"/>
      <c r="V190" s="38"/>
      <c r="W190" s="37"/>
      <c r="X190" s="38"/>
      <c r="Y190" s="38"/>
      <c r="Z190" s="37"/>
      <c r="AA190" s="38"/>
      <c r="AB190" s="38"/>
      <c r="AC190" s="40"/>
      <c r="AD190" s="41"/>
      <c r="AE190" s="42" t="str">
        <f aca="false">IF(OR(A190="",NOT(ISNUMBER(AC190)),NOT(ISNUMBER(AD190))),"",IF(AD190&gt;0,AC190/AD190,""))</f>
        <v/>
      </c>
      <c r="AF190" s="42" t="str">
        <f aca="false">IF(OR(A190="",AB190=""),"",IFERROR(INDEX(Arbeitszeitmodelle!$C$5:$C$34,MATCH(AB190,Arbeitszeitmodelle!$A$5:$A$34,0)),""))</f>
        <v/>
      </c>
      <c r="AG190" s="38"/>
      <c r="AH190" s="38"/>
      <c r="AI190" s="38"/>
      <c r="AJ190" s="41"/>
      <c r="AK190" s="41"/>
      <c r="AL190" s="38"/>
      <c r="AM190" s="41"/>
      <c r="AN190" s="38"/>
      <c r="AO190" s="38"/>
      <c r="AP190" s="38"/>
      <c r="AQ190" s="38"/>
      <c r="AR190" s="41"/>
      <c r="AS190" s="40"/>
      <c r="AT190" s="39"/>
      <c r="AU190" s="41"/>
      <c r="AV190" s="43" t="str">
        <f aca="false">IF(OR(A190="",NOT(ISNUMBER(AD190))),"",P_MinUrlaubWerktage/6*AD190)</f>
        <v/>
      </c>
      <c r="AW190" s="43" t="str">
        <f aca="false">IF(A190="","",IF(M190="Ja",P_ZusatzSB*IF(ISNUMBER(AD190),AD190,5)/5,0))</f>
        <v/>
      </c>
      <c r="AX190" s="41"/>
      <c r="AY190" s="39"/>
      <c r="AZ190" s="43" t="str">
        <f aca="false">IF(OR(A190="",NOT(ISNUMBER(AU190))),"",SUM(AU190,AW190,AX190))</f>
        <v/>
      </c>
      <c r="BA190" s="38"/>
      <c r="BB190" s="44"/>
      <c r="BC190" s="44"/>
      <c r="BD190" s="45" t="str">
        <f aca="false">IF(A190="","",IF(BA190="Stundenlohn",IF(ISNUMBER(BC190),BC190,""),IF(AND(ISNUMBER(BB190),ISNUMBER(AC190)),IF(AC190&gt;0,BB190*12/(AC190*52),""),"")))</f>
        <v/>
      </c>
      <c r="BE190" s="46" t="str">
        <f aca="false">IF(OR(A190="",NOT(ISNUMBER(F190))),"",IFERROR(DATEDIF(F190,P_Stichtag,"Y"),""))</f>
        <v/>
      </c>
      <c r="BF190" s="47" t="str">
        <f aca="false">IF(OR(A190="",NOT(ISNUMBER(BE190))),"",IF(BE190&lt;18,"Ja","Nein"))</f>
        <v/>
      </c>
      <c r="BG190" s="48" t="str">
        <f aca="false">IF(A190="","",IF((IF(OR(B190="",C190="",F190="",N190="",Q190="",AB190="",AC190="",AD190="",AU190=""),"Pflichtfelder fehlen; ","")&amp;IF(AND(ISNUMBER(AC190),AC190&gt;P_MaxWoche),"Wochenstunden &gt; Prüfgrenze; ","")&amp;IF(AND(BF190="Ja",ISNUMBER(AC190),AC190&gt;P_MaxWocheJugend),"Jugendlicher &gt; 40 h/Woche; ","")&amp;IF(AND(ISNUMBER(BD190),BD190&lt;P_Mindestlohn,Q190&lt;&gt;"Auszubildende/r",Q190&lt;&gt;"Praktikant/in"),"Mindestlohn unterschritten?; ","")&amp;IF(AND(Q190="Minijob (geringfügig)",ISNUMBER(BB190),BB190&gt;P_Minijob),"Minijob-Grenze überschritten; ","")&amp;IF(AND(R190="Ja",S190=""),"Befristung ohne Enddatum; ","")&amp;IF(AND(ISNUMBER(O190),ISNUMBER(N190),O190&lt;N190),"Austritt vor Eintritt; ","")&amp;IF(AND(ISNUMBER(AU190),ISNUMBER(AV190),AU190&lt;AV190),"Urlaub unter gesetzl. Minimum; ","")&amp;IF(AND(ISNUMBER(AC190),ISNUMBER(AF190),ABS(N(AC190)-N(AF190))&gt;0.01),"Wochenstd. weichen vom Modell ab; ","")&amp;IF(AND(AI190="Ja",OR(AJ190="",AK190="")),"Kontogrenzen fehlen; ","")&amp;IF(AND(AL190="Mit Gehalt abgegolten (Pauschale)",AM190=""),"Überstunden-Pauschale fehlt; ",""))="","OK",IF(OR(B190="",C190="",F190="",N190="",Q190="",AB190="",AC190="",AD190="",AU190=""),"Pflichtfelder fehlen; ","")&amp;IF(AND(ISNUMBER(AC190),AC190&gt;P_MaxWoche),"Wochenstunden &gt; Prüfgrenze; ","")&amp;IF(AND(BF190="Ja",ISNUMBER(AC190),AC190&gt;P_MaxWocheJugend),"Jugendlicher &gt; 40 h/Woche; ","")&amp;IF(AND(ISNUMBER(BD190),BD190&lt;P_Mindestlohn,Q190&lt;&gt;"Auszubildende/r",Q190&lt;&gt;"Praktikant/in"),"Mindestlohn unterschritten?; ","")&amp;IF(AND(Q190="Minijob (geringfügig)",ISNUMBER(BB190),BB190&gt;P_Minijob),"Minijob-Grenze überschritten; ","")&amp;IF(AND(R190="Ja",S190=""),"Befristung ohne Enddatum; ","")&amp;IF(AND(ISNUMBER(O190),ISNUMBER(N190),O190&lt;N190),"Austritt vor Eintritt; ","")&amp;IF(AND(ISNUMBER(AU190),ISNUMBER(AV190),AU190&lt;AV190),"Urlaub unter gesetzl. Minimum; ","")&amp;IF(AND(ISNUMBER(AC190),ISNUMBER(AF190),ABS(N(AC190)-N(AF190))&gt;0.01),"Wochenstd. weichen vom Modell ab; ","")&amp;IF(AND(AI190="Ja",OR(AJ190="",AK190="")),"Kontogrenzen fehlen; ","")&amp;IF(AND(AL190="Mit Gehalt abgegolten (Pauschale)",AM190=""),"Überstunden-Pauschale fehlt; ","")))</f>
        <v/>
      </c>
      <c r="BH190" s="38"/>
    </row>
    <row r="191" customFormat="false" ht="15" hidden="false" customHeight="false" outlineLevel="0" collapsed="false">
      <c r="A191" s="37"/>
      <c r="B191" s="38"/>
      <c r="C191" s="38"/>
      <c r="D191" s="38"/>
      <c r="E191" s="38"/>
      <c r="F191" s="39"/>
      <c r="G191" s="38"/>
      <c r="H191" s="38"/>
      <c r="I191" s="37"/>
      <c r="J191" s="38"/>
      <c r="K191" s="38"/>
      <c r="L191" s="38"/>
      <c r="M191" s="38"/>
      <c r="N191" s="39"/>
      <c r="O191" s="39"/>
      <c r="P191" s="38"/>
      <c r="Q191" s="38"/>
      <c r="R191" s="38"/>
      <c r="S191" s="39"/>
      <c r="T191" s="39"/>
      <c r="U191" s="38"/>
      <c r="V191" s="38"/>
      <c r="W191" s="37"/>
      <c r="X191" s="38"/>
      <c r="Y191" s="38"/>
      <c r="Z191" s="37"/>
      <c r="AA191" s="38"/>
      <c r="AB191" s="38"/>
      <c r="AC191" s="40"/>
      <c r="AD191" s="41"/>
      <c r="AE191" s="42" t="str">
        <f aca="false">IF(OR(A191="",NOT(ISNUMBER(AC191)),NOT(ISNUMBER(AD191))),"",IF(AD191&gt;0,AC191/AD191,""))</f>
        <v/>
      </c>
      <c r="AF191" s="42" t="str">
        <f aca="false">IF(OR(A191="",AB191=""),"",IFERROR(INDEX(Arbeitszeitmodelle!$C$5:$C$34,MATCH(AB191,Arbeitszeitmodelle!$A$5:$A$34,0)),""))</f>
        <v/>
      </c>
      <c r="AG191" s="38"/>
      <c r="AH191" s="38"/>
      <c r="AI191" s="38"/>
      <c r="AJ191" s="41"/>
      <c r="AK191" s="41"/>
      <c r="AL191" s="38"/>
      <c r="AM191" s="41"/>
      <c r="AN191" s="38"/>
      <c r="AO191" s="38"/>
      <c r="AP191" s="38"/>
      <c r="AQ191" s="38"/>
      <c r="AR191" s="41"/>
      <c r="AS191" s="40"/>
      <c r="AT191" s="39"/>
      <c r="AU191" s="41"/>
      <c r="AV191" s="43" t="str">
        <f aca="false">IF(OR(A191="",NOT(ISNUMBER(AD191))),"",P_MinUrlaubWerktage/6*AD191)</f>
        <v/>
      </c>
      <c r="AW191" s="43" t="str">
        <f aca="false">IF(A191="","",IF(M191="Ja",P_ZusatzSB*IF(ISNUMBER(AD191),AD191,5)/5,0))</f>
        <v/>
      </c>
      <c r="AX191" s="41"/>
      <c r="AY191" s="39"/>
      <c r="AZ191" s="43" t="str">
        <f aca="false">IF(OR(A191="",NOT(ISNUMBER(AU191))),"",SUM(AU191,AW191,AX191))</f>
        <v/>
      </c>
      <c r="BA191" s="38"/>
      <c r="BB191" s="44"/>
      <c r="BC191" s="44"/>
      <c r="BD191" s="45" t="str">
        <f aca="false">IF(A191="","",IF(BA191="Stundenlohn",IF(ISNUMBER(BC191),BC191,""),IF(AND(ISNUMBER(BB191),ISNUMBER(AC191)),IF(AC191&gt;0,BB191*12/(AC191*52),""),"")))</f>
        <v/>
      </c>
      <c r="BE191" s="46" t="str">
        <f aca="false">IF(OR(A191="",NOT(ISNUMBER(F191))),"",IFERROR(DATEDIF(F191,P_Stichtag,"Y"),""))</f>
        <v/>
      </c>
      <c r="BF191" s="47" t="str">
        <f aca="false">IF(OR(A191="",NOT(ISNUMBER(BE191))),"",IF(BE191&lt;18,"Ja","Nein"))</f>
        <v/>
      </c>
      <c r="BG191" s="48" t="str">
        <f aca="false">IF(A191="","",IF((IF(OR(B191="",C191="",F191="",N191="",Q191="",AB191="",AC191="",AD191="",AU191=""),"Pflichtfelder fehlen; ","")&amp;IF(AND(ISNUMBER(AC191),AC191&gt;P_MaxWoche),"Wochenstunden &gt; Prüfgrenze; ","")&amp;IF(AND(BF191="Ja",ISNUMBER(AC191),AC191&gt;P_MaxWocheJugend),"Jugendlicher &gt; 40 h/Woche; ","")&amp;IF(AND(ISNUMBER(BD191),BD191&lt;P_Mindestlohn,Q191&lt;&gt;"Auszubildende/r",Q191&lt;&gt;"Praktikant/in"),"Mindestlohn unterschritten?; ","")&amp;IF(AND(Q191="Minijob (geringfügig)",ISNUMBER(BB191),BB191&gt;P_Minijob),"Minijob-Grenze überschritten; ","")&amp;IF(AND(R191="Ja",S191=""),"Befristung ohne Enddatum; ","")&amp;IF(AND(ISNUMBER(O191),ISNUMBER(N191),O191&lt;N191),"Austritt vor Eintritt; ","")&amp;IF(AND(ISNUMBER(AU191),ISNUMBER(AV191),AU191&lt;AV191),"Urlaub unter gesetzl. Minimum; ","")&amp;IF(AND(ISNUMBER(AC191),ISNUMBER(AF191),ABS(N(AC191)-N(AF191))&gt;0.01),"Wochenstd. weichen vom Modell ab; ","")&amp;IF(AND(AI191="Ja",OR(AJ191="",AK191="")),"Kontogrenzen fehlen; ","")&amp;IF(AND(AL191="Mit Gehalt abgegolten (Pauschale)",AM191=""),"Überstunden-Pauschale fehlt; ",""))="","OK",IF(OR(B191="",C191="",F191="",N191="",Q191="",AB191="",AC191="",AD191="",AU191=""),"Pflichtfelder fehlen; ","")&amp;IF(AND(ISNUMBER(AC191),AC191&gt;P_MaxWoche),"Wochenstunden &gt; Prüfgrenze; ","")&amp;IF(AND(BF191="Ja",ISNUMBER(AC191),AC191&gt;P_MaxWocheJugend),"Jugendlicher &gt; 40 h/Woche; ","")&amp;IF(AND(ISNUMBER(BD191),BD191&lt;P_Mindestlohn,Q191&lt;&gt;"Auszubildende/r",Q191&lt;&gt;"Praktikant/in"),"Mindestlohn unterschritten?; ","")&amp;IF(AND(Q191="Minijob (geringfügig)",ISNUMBER(BB191),BB191&gt;P_Minijob),"Minijob-Grenze überschritten; ","")&amp;IF(AND(R191="Ja",S191=""),"Befristung ohne Enddatum; ","")&amp;IF(AND(ISNUMBER(O191),ISNUMBER(N191),O191&lt;N191),"Austritt vor Eintritt; ","")&amp;IF(AND(ISNUMBER(AU191),ISNUMBER(AV191),AU191&lt;AV191),"Urlaub unter gesetzl. Minimum; ","")&amp;IF(AND(ISNUMBER(AC191),ISNUMBER(AF191),ABS(N(AC191)-N(AF191))&gt;0.01),"Wochenstd. weichen vom Modell ab; ","")&amp;IF(AND(AI191="Ja",OR(AJ191="",AK191="")),"Kontogrenzen fehlen; ","")&amp;IF(AND(AL191="Mit Gehalt abgegolten (Pauschale)",AM191=""),"Überstunden-Pauschale fehlt; ","")))</f>
        <v/>
      </c>
      <c r="BH191" s="38"/>
    </row>
    <row r="192" customFormat="false" ht="15" hidden="false" customHeight="false" outlineLevel="0" collapsed="false">
      <c r="A192" s="37"/>
      <c r="B192" s="38"/>
      <c r="C192" s="38"/>
      <c r="D192" s="38"/>
      <c r="E192" s="38"/>
      <c r="F192" s="39"/>
      <c r="G192" s="38"/>
      <c r="H192" s="38"/>
      <c r="I192" s="37"/>
      <c r="J192" s="38"/>
      <c r="K192" s="38"/>
      <c r="L192" s="38"/>
      <c r="M192" s="38"/>
      <c r="N192" s="39"/>
      <c r="O192" s="39"/>
      <c r="P192" s="38"/>
      <c r="Q192" s="38"/>
      <c r="R192" s="38"/>
      <c r="S192" s="39"/>
      <c r="T192" s="39"/>
      <c r="U192" s="38"/>
      <c r="V192" s="38"/>
      <c r="W192" s="37"/>
      <c r="X192" s="38"/>
      <c r="Y192" s="38"/>
      <c r="Z192" s="37"/>
      <c r="AA192" s="38"/>
      <c r="AB192" s="38"/>
      <c r="AC192" s="40"/>
      <c r="AD192" s="41"/>
      <c r="AE192" s="42" t="str">
        <f aca="false">IF(OR(A192="",NOT(ISNUMBER(AC192)),NOT(ISNUMBER(AD192))),"",IF(AD192&gt;0,AC192/AD192,""))</f>
        <v/>
      </c>
      <c r="AF192" s="42" t="str">
        <f aca="false">IF(OR(A192="",AB192=""),"",IFERROR(INDEX(Arbeitszeitmodelle!$C$5:$C$34,MATCH(AB192,Arbeitszeitmodelle!$A$5:$A$34,0)),""))</f>
        <v/>
      </c>
      <c r="AG192" s="38"/>
      <c r="AH192" s="38"/>
      <c r="AI192" s="38"/>
      <c r="AJ192" s="41"/>
      <c r="AK192" s="41"/>
      <c r="AL192" s="38"/>
      <c r="AM192" s="41"/>
      <c r="AN192" s="38"/>
      <c r="AO192" s="38"/>
      <c r="AP192" s="38"/>
      <c r="AQ192" s="38"/>
      <c r="AR192" s="41"/>
      <c r="AS192" s="40"/>
      <c r="AT192" s="39"/>
      <c r="AU192" s="41"/>
      <c r="AV192" s="43" t="str">
        <f aca="false">IF(OR(A192="",NOT(ISNUMBER(AD192))),"",P_MinUrlaubWerktage/6*AD192)</f>
        <v/>
      </c>
      <c r="AW192" s="43" t="str">
        <f aca="false">IF(A192="","",IF(M192="Ja",P_ZusatzSB*IF(ISNUMBER(AD192),AD192,5)/5,0))</f>
        <v/>
      </c>
      <c r="AX192" s="41"/>
      <c r="AY192" s="39"/>
      <c r="AZ192" s="43" t="str">
        <f aca="false">IF(OR(A192="",NOT(ISNUMBER(AU192))),"",SUM(AU192,AW192,AX192))</f>
        <v/>
      </c>
      <c r="BA192" s="38"/>
      <c r="BB192" s="44"/>
      <c r="BC192" s="44"/>
      <c r="BD192" s="45" t="str">
        <f aca="false">IF(A192="","",IF(BA192="Stundenlohn",IF(ISNUMBER(BC192),BC192,""),IF(AND(ISNUMBER(BB192),ISNUMBER(AC192)),IF(AC192&gt;0,BB192*12/(AC192*52),""),"")))</f>
        <v/>
      </c>
      <c r="BE192" s="46" t="str">
        <f aca="false">IF(OR(A192="",NOT(ISNUMBER(F192))),"",IFERROR(DATEDIF(F192,P_Stichtag,"Y"),""))</f>
        <v/>
      </c>
      <c r="BF192" s="47" t="str">
        <f aca="false">IF(OR(A192="",NOT(ISNUMBER(BE192))),"",IF(BE192&lt;18,"Ja","Nein"))</f>
        <v/>
      </c>
      <c r="BG192" s="48" t="str">
        <f aca="false">IF(A192="","",IF((IF(OR(B192="",C192="",F192="",N192="",Q192="",AB192="",AC192="",AD192="",AU192=""),"Pflichtfelder fehlen; ","")&amp;IF(AND(ISNUMBER(AC192),AC192&gt;P_MaxWoche),"Wochenstunden &gt; Prüfgrenze; ","")&amp;IF(AND(BF192="Ja",ISNUMBER(AC192),AC192&gt;P_MaxWocheJugend),"Jugendlicher &gt; 40 h/Woche; ","")&amp;IF(AND(ISNUMBER(BD192),BD192&lt;P_Mindestlohn,Q192&lt;&gt;"Auszubildende/r",Q192&lt;&gt;"Praktikant/in"),"Mindestlohn unterschritten?; ","")&amp;IF(AND(Q192="Minijob (geringfügig)",ISNUMBER(BB192),BB192&gt;P_Minijob),"Minijob-Grenze überschritten; ","")&amp;IF(AND(R192="Ja",S192=""),"Befristung ohne Enddatum; ","")&amp;IF(AND(ISNUMBER(O192),ISNUMBER(N192),O192&lt;N192),"Austritt vor Eintritt; ","")&amp;IF(AND(ISNUMBER(AU192),ISNUMBER(AV192),AU192&lt;AV192),"Urlaub unter gesetzl. Minimum; ","")&amp;IF(AND(ISNUMBER(AC192),ISNUMBER(AF192),ABS(N(AC192)-N(AF192))&gt;0.01),"Wochenstd. weichen vom Modell ab; ","")&amp;IF(AND(AI192="Ja",OR(AJ192="",AK192="")),"Kontogrenzen fehlen; ","")&amp;IF(AND(AL192="Mit Gehalt abgegolten (Pauschale)",AM192=""),"Überstunden-Pauschale fehlt; ",""))="","OK",IF(OR(B192="",C192="",F192="",N192="",Q192="",AB192="",AC192="",AD192="",AU192=""),"Pflichtfelder fehlen; ","")&amp;IF(AND(ISNUMBER(AC192),AC192&gt;P_MaxWoche),"Wochenstunden &gt; Prüfgrenze; ","")&amp;IF(AND(BF192="Ja",ISNUMBER(AC192),AC192&gt;P_MaxWocheJugend),"Jugendlicher &gt; 40 h/Woche; ","")&amp;IF(AND(ISNUMBER(BD192),BD192&lt;P_Mindestlohn,Q192&lt;&gt;"Auszubildende/r",Q192&lt;&gt;"Praktikant/in"),"Mindestlohn unterschritten?; ","")&amp;IF(AND(Q192="Minijob (geringfügig)",ISNUMBER(BB192),BB192&gt;P_Minijob),"Minijob-Grenze überschritten; ","")&amp;IF(AND(R192="Ja",S192=""),"Befristung ohne Enddatum; ","")&amp;IF(AND(ISNUMBER(O192),ISNUMBER(N192),O192&lt;N192),"Austritt vor Eintritt; ","")&amp;IF(AND(ISNUMBER(AU192),ISNUMBER(AV192),AU192&lt;AV192),"Urlaub unter gesetzl. Minimum; ","")&amp;IF(AND(ISNUMBER(AC192),ISNUMBER(AF192),ABS(N(AC192)-N(AF192))&gt;0.01),"Wochenstd. weichen vom Modell ab; ","")&amp;IF(AND(AI192="Ja",OR(AJ192="",AK192="")),"Kontogrenzen fehlen; ","")&amp;IF(AND(AL192="Mit Gehalt abgegolten (Pauschale)",AM192=""),"Überstunden-Pauschale fehlt; ","")))</f>
        <v/>
      </c>
      <c r="BH192" s="38"/>
    </row>
    <row r="193" customFormat="false" ht="15" hidden="false" customHeight="false" outlineLevel="0" collapsed="false">
      <c r="A193" s="37"/>
      <c r="B193" s="38"/>
      <c r="C193" s="38"/>
      <c r="D193" s="38"/>
      <c r="E193" s="38"/>
      <c r="F193" s="39"/>
      <c r="G193" s="38"/>
      <c r="H193" s="38"/>
      <c r="I193" s="37"/>
      <c r="J193" s="38"/>
      <c r="K193" s="38"/>
      <c r="L193" s="38"/>
      <c r="M193" s="38"/>
      <c r="N193" s="39"/>
      <c r="O193" s="39"/>
      <c r="P193" s="38"/>
      <c r="Q193" s="38"/>
      <c r="R193" s="38"/>
      <c r="S193" s="39"/>
      <c r="T193" s="39"/>
      <c r="U193" s="38"/>
      <c r="V193" s="38"/>
      <c r="W193" s="37"/>
      <c r="X193" s="38"/>
      <c r="Y193" s="38"/>
      <c r="Z193" s="37"/>
      <c r="AA193" s="38"/>
      <c r="AB193" s="38"/>
      <c r="AC193" s="40"/>
      <c r="AD193" s="41"/>
      <c r="AE193" s="42" t="str">
        <f aca="false">IF(OR(A193="",NOT(ISNUMBER(AC193)),NOT(ISNUMBER(AD193))),"",IF(AD193&gt;0,AC193/AD193,""))</f>
        <v/>
      </c>
      <c r="AF193" s="42" t="str">
        <f aca="false">IF(OR(A193="",AB193=""),"",IFERROR(INDEX(Arbeitszeitmodelle!$C$5:$C$34,MATCH(AB193,Arbeitszeitmodelle!$A$5:$A$34,0)),""))</f>
        <v/>
      </c>
      <c r="AG193" s="38"/>
      <c r="AH193" s="38"/>
      <c r="AI193" s="38"/>
      <c r="AJ193" s="41"/>
      <c r="AK193" s="41"/>
      <c r="AL193" s="38"/>
      <c r="AM193" s="41"/>
      <c r="AN193" s="38"/>
      <c r="AO193" s="38"/>
      <c r="AP193" s="38"/>
      <c r="AQ193" s="38"/>
      <c r="AR193" s="41"/>
      <c r="AS193" s="40"/>
      <c r="AT193" s="39"/>
      <c r="AU193" s="41"/>
      <c r="AV193" s="43" t="str">
        <f aca="false">IF(OR(A193="",NOT(ISNUMBER(AD193))),"",P_MinUrlaubWerktage/6*AD193)</f>
        <v/>
      </c>
      <c r="AW193" s="43" t="str">
        <f aca="false">IF(A193="","",IF(M193="Ja",P_ZusatzSB*IF(ISNUMBER(AD193),AD193,5)/5,0))</f>
        <v/>
      </c>
      <c r="AX193" s="41"/>
      <c r="AY193" s="39"/>
      <c r="AZ193" s="43" t="str">
        <f aca="false">IF(OR(A193="",NOT(ISNUMBER(AU193))),"",SUM(AU193,AW193,AX193))</f>
        <v/>
      </c>
      <c r="BA193" s="38"/>
      <c r="BB193" s="44"/>
      <c r="BC193" s="44"/>
      <c r="BD193" s="45" t="str">
        <f aca="false">IF(A193="","",IF(BA193="Stundenlohn",IF(ISNUMBER(BC193),BC193,""),IF(AND(ISNUMBER(BB193),ISNUMBER(AC193)),IF(AC193&gt;0,BB193*12/(AC193*52),""),"")))</f>
        <v/>
      </c>
      <c r="BE193" s="46" t="str">
        <f aca="false">IF(OR(A193="",NOT(ISNUMBER(F193))),"",IFERROR(DATEDIF(F193,P_Stichtag,"Y"),""))</f>
        <v/>
      </c>
      <c r="BF193" s="47" t="str">
        <f aca="false">IF(OR(A193="",NOT(ISNUMBER(BE193))),"",IF(BE193&lt;18,"Ja","Nein"))</f>
        <v/>
      </c>
      <c r="BG193" s="48" t="str">
        <f aca="false">IF(A193="","",IF((IF(OR(B193="",C193="",F193="",N193="",Q193="",AB193="",AC193="",AD193="",AU193=""),"Pflichtfelder fehlen; ","")&amp;IF(AND(ISNUMBER(AC193),AC193&gt;P_MaxWoche),"Wochenstunden &gt; Prüfgrenze; ","")&amp;IF(AND(BF193="Ja",ISNUMBER(AC193),AC193&gt;P_MaxWocheJugend),"Jugendlicher &gt; 40 h/Woche; ","")&amp;IF(AND(ISNUMBER(BD193),BD193&lt;P_Mindestlohn,Q193&lt;&gt;"Auszubildende/r",Q193&lt;&gt;"Praktikant/in"),"Mindestlohn unterschritten?; ","")&amp;IF(AND(Q193="Minijob (geringfügig)",ISNUMBER(BB193),BB193&gt;P_Minijob),"Minijob-Grenze überschritten; ","")&amp;IF(AND(R193="Ja",S193=""),"Befristung ohne Enddatum; ","")&amp;IF(AND(ISNUMBER(O193),ISNUMBER(N193),O193&lt;N193),"Austritt vor Eintritt; ","")&amp;IF(AND(ISNUMBER(AU193),ISNUMBER(AV193),AU193&lt;AV193),"Urlaub unter gesetzl. Minimum; ","")&amp;IF(AND(ISNUMBER(AC193),ISNUMBER(AF193),ABS(N(AC193)-N(AF193))&gt;0.01),"Wochenstd. weichen vom Modell ab; ","")&amp;IF(AND(AI193="Ja",OR(AJ193="",AK193="")),"Kontogrenzen fehlen; ","")&amp;IF(AND(AL193="Mit Gehalt abgegolten (Pauschale)",AM193=""),"Überstunden-Pauschale fehlt; ",""))="","OK",IF(OR(B193="",C193="",F193="",N193="",Q193="",AB193="",AC193="",AD193="",AU193=""),"Pflichtfelder fehlen; ","")&amp;IF(AND(ISNUMBER(AC193),AC193&gt;P_MaxWoche),"Wochenstunden &gt; Prüfgrenze; ","")&amp;IF(AND(BF193="Ja",ISNUMBER(AC193),AC193&gt;P_MaxWocheJugend),"Jugendlicher &gt; 40 h/Woche; ","")&amp;IF(AND(ISNUMBER(BD193),BD193&lt;P_Mindestlohn,Q193&lt;&gt;"Auszubildende/r",Q193&lt;&gt;"Praktikant/in"),"Mindestlohn unterschritten?; ","")&amp;IF(AND(Q193="Minijob (geringfügig)",ISNUMBER(BB193),BB193&gt;P_Minijob),"Minijob-Grenze überschritten; ","")&amp;IF(AND(R193="Ja",S193=""),"Befristung ohne Enddatum; ","")&amp;IF(AND(ISNUMBER(O193),ISNUMBER(N193),O193&lt;N193),"Austritt vor Eintritt; ","")&amp;IF(AND(ISNUMBER(AU193),ISNUMBER(AV193),AU193&lt;AV193),"Urlaub unter gesetzl. Minimum; ","")&amp;IF(AND(ISNUMBER(AC193),ISNUMBER(AF193),ABS(N(AC193)-N(AF193))&gt;0.01),"Wochenstd. weichen vom Modell ab; ","")&amp;IF(AND(AI193="Ja",OR(AJ193="",AK193="")),"Kontogrenzen fehlen; ","")&amp;IF(AND(AL193="Mit Gehalt abgegolten (Pauschale)",AM193=""),"Überstunden-Pauschale fehlt; ","")))</f>
        <v/>
      </c>
      <c r="BH193" s="38"/>
    </row>
    <row r="194" customFormat="false" ht="15" hidden="false" customHeight="false" outlineLevel="0" collapsed="false">
      <c r="A194" s="37"/>
      <c r="B194" s="38"/>
      <c r="C194" s="38"/>
      <c r="D194" s="38"/>
      <c r="E194" s="38"/>
      <c r="F194" s="39"/>
      <c r="G194" s="38"/>
      <c r="H194" s="38"/>
      <c r="I194" s="37"/>
      <c r="J194" s="38"/>
      <c r="K194" s="38"/>
      <c r="L194" s="38"/>
      <c r="M194" s="38"/>
      <c r="N194" s="39"/>
      <c r="O194" s="39"/>
      <c r="P194" s="38"/>
      <c r="Q194" s="38"/>
      <c r="R194" s="38"/>
      <c r="S194" s="39"/>
      <c r="T194" s="39"/>
      <c r="U194" s="38"/>
      <c r="V194" s="38"/>
      <c r="W194" s="37"/>
      <c r="X194" s="38"/>
      <c r="Y194" s="38"/>
      <c r="Z194" s="37"/>
      <c r="AA194" s="38"/>
      <c r="AB194" s="38"/>
      <c r="AC194" s="40"/>
      <c r="AD194" s="41"/>
      <c r="AE194" s="42" t="str">
        <f aca="false">IF(OR(A194="",NOT(ISNUMBER(AC194)),NOT(ISNUMBER(AD194))),"",IF(AD194&gt;0,AC194/AD194,""))</f>
        <v/>
      </c>
      <c r="AF194" s="42" t="str">
        <f aca="false">IF(OR(A194="",AB194=""),"",IFERROR(INDEX(Arbeitszeitmodelle!$C$5:$C$34,MATCH(AB194,Arbeitszeitmodelle!$A$5:$A$34,0)),""))</f>
        <v/>
      </c>
      <c r="AG194" s="38"/>
      <c r="AH194" s="38"/>
      <c r="AI194" s="38"/>
      <c r="AJ194" s="41"/>
      <c r="AK194" s="41"/>
      <c r="AL194" s="38"/>
      <c r="AM194" s="41"/>
      <c r="AN194" s="38"/>
      <c r="AO194" s="38"/>
      <c r="AP194" s="38"/>
      <c r="AQ194" s="38"/>
      <c r="AR194" s="41"/>
      <c r="AS194" s="40"/>
      <c r="AT194" s="39"/>
      <c r="AU194" s="41"/>
      <c r="AV194" s="43" t="str">
        <f aca="false">IF(OR(A194="",NOT(ISNUMBER(AD194))),"",P_MinUrlaubWerktage/6*AD194)</f>
        <v/>
      </c>
      <c r="AW194" s="43" t="str">
        <f aca="false">IF(A194="","",IF(M194="Ja",P_ZusatzSB*IF(ISNUMBER(AD194),AD194,5)/5,0))</f>
        <v/>
      </c>
      <c r="AX194" s="41"/>
      <c r="AY194" s="39"/>
      <c r="AZ194" s="43" t="str">
        <f aca="false">IF(OR(A194="",NOT(ISNUMBER(AU194))),"",SUM(AU194,AW194,AX194))</f>
        <v/>
      </c>
      <c r="BA194" s="38"/>
      <c r="BB194" s="44"/>
      <c r="BC194" s="44"/>
      <c r="BD194" s="45" t="str">
        <f aca="false">IF(A194="","",IF(BA194="Stundenlohn",IF(ISNUMBER(BC194),BC194,""),IF(AND(ISNUMBER(BB194),ISNUMBER(AC194)),IF(AC194&gt;0,BB194*12/(AC194*52),""),"")))</f>
        <v/>
      </c>
      <c r="BE194" s="46" t="str">
        <f aca="false">IF(OR(A194="",NOT(ISNUMBER(F194))),"",IFERROR(DATEDIF(F194,P_Stichtag,"Y"),""))</f>
        <v/>
      </c>
      <c r="BF194" s="47" t="str">
        <f aca="false">IF(OR(A194="",NOT(ISNUMBER(BE194))),"",IF(BE194&lt;18,"Ja","Nein"))</f>
        <v/>
      </c>
      <c r="BG194" s="48" t="str">
        <f aca="false">IF(A194="","",IF((IF(OR(B194="",C194="",F194="",N194="",Q194="",AB194="",AC194="",AD194="",AU194=""),"Pflichtfelder fehlen; ","")&amp;IF(AND(ISNUMBER(AC194),AC194&gt;P_MaxWoche),"Wochenstunden &gt; Prüfgrenze; ","")&amp;IF(AND(BF194="Ja",ISNUMBER(AC194),AC194&gt;P_MaxWocheJugend),"Jugendlicher &gt; 40 h/Woche; ","")&amp;IF(AND(ISNUMBER(BD194),BD194&lt;P_Mindestlohn,Q194&lt;&gt;"Auszubildende/r",Q194&lt;&gt;"Praktikant/in"),"Mindestlohn unterschritten?; ","")&amp;IF(AND(Q194="Minijob (geringfügig)",ISNUMBER(BB194),BB194&gt;P_Minijob),"Minijob-Grenze überschritten; ","")&amp;IF(AND(R194="Ja",S194=""),"Befristung ohne Enddatum; ","")&amp;IF(AND(ISNUMBER(O194),ISNUMBER(N194),O194&lt;N194),"Austritt vor Eintritt; ","")&amp;IF(AND(ISNUMBER(AU194),ISNUMBER(AV194),AU194&lt;AV194),"Urlaub unter gesetzl. Minimum; ","")&amp;IF(AND(ISNUMBER(AC194),ISNUMBER(AF194),ABS(N(AC194)-N(AF194))&gt;0.01),"Wochenstd. weichen vom Modell ab; ","")&amp;IF(AND(AI194="Ja",OR(AJ194="",AK194="")),"Kontogrenzen fehlen; ","")&amp;IF(AND(AL194="Mit Gehalt abgegolten (Pauschale)",AM194=""),"Überstunden-Pauschale fehlt; ",""))="","OK",IF(OR(B194="",C194="",F194="",N194="",Q194="",AB194="",AC194="",AD194="",AU194=""),"Pflichtfelder fehlen; ","")&amp;IF(AND(ISNUMBER(AC194),AC194&gt;P_MaxWoche),"Wochenstunden &gt; Prüfgrenze; ","")&amp;IF(AND(BF194="Ja",ISNUMBER(AC194),AC194&gt;P_MaxWocheJugend),"Jugendlicher &gt; 40 h/Woche; ","")&amp;IF(AND(ISNUMBER(BD194),BD194&lt;P_Mindestlohn,Q194&lt;&gt;"Auszubildende/r",Q194&lt;&gt;"Praktikant/in"),"Mindestlohn unterschritten?; ","")&amp;IF(AND(Q194="Minijob (geringfügig)",ISNUMBER(BB194),BB194&gt;P_Minijob),"Minijob-Grenze überschritten; ","")&amp;IF(AND(R194="Ja",S194=""),"Befristung ohne Enddatum; ","")&amp;IF(AND(ISNUMBER(O194),ISNUMBER(N194),O194&lt;N194),"Austritt vor Eintritt; ","")&amp;IF(AND(ISNUMBER(AU194),ISNUMBER(AV194),AU194&lt;AV194),"Urlaub unter gesetzl. Minimum; ","")&amp;IF(AND(ISNUMBER(AC194),ISNUMBER(AF194),ABS(N(AC194)-N(AF194))&gt;0.01),"Wochenstd. weichen vom Modell ab; ","")&amp;IF(AND(AI194="Ja",OR(AJ194="",AK194="")),"Kontogrenzen fehlen; ","")&amp;IF(AND(AL194="Mit Gehalt abgegolten (Pauschale)",AM194=""),"Überstunden-Pauschale fehlt; ","")))</f>
        <v/>
      </c>
      <c r="BH194" s="38"/>
    </row>
    <row r="195" customFormat="false" ht="15" hidden="false" customHeight="false" outlineLevel="0" collapsed="false">
      <c r="A195" s="37"/>
      <c r="B195" s="38"/>
      <c r="C195" s="38"/>
      <c r="D195" s="38"/>
      <c r="E195" s="38"/>
      <c r="F195" s="39"/>
      <c r="G195" s="38"/>
      <c r="H195" s="38"/>
      <c r="I195" s="37"/>
      <c r="J195" s="38"/>
      <c r="K195" s="38"/>
      <c r="L195" s="38"/>
      <c r="M195" s="38"/>
      <c r="N195" s="39"/>
      <c r="O195" s="39"/>
      <c r="P195" s="38"/>
      <c r="Q195" s="38"/>
      <c r="R195" s="38"/>
      <c r="S195" s="39"/>
      <c r="T195" s="39"/>
      <c r="U195" s="38"/>
      <c r="V195" s="38"/>
      <c r="W195" s="37"/>
      <c r="X195" s="38"/>
      <c r="Y195" s="38"/>
      <c r="Z195" s="37"/>
      <c r="AA195" s="38"/>
      <c r="AB195" s="38"/>
      <c r="AC195" s="40"/>
      <c r="AD195" s="41"/>
      <c r="AE195" s="42" t="str">
        <f aca="false">IF(OR(A195="",NOT(ISNUMBER(AC195)),NOT(ISNUMBER(AD195))),"",IF(AD195&gt;0,AC195/AD195,""))</f>
        <v/>
      </c>
      <c r="AF195" s="42" t="str">
        <f aca="false">IF(OR(A195="",AB195=""),"",IFERROR(INDEX(Arbeitszeitmodelle!$C$5:$C$34,MATCH(AB195,Arbeitszeitmodelle!$A$5:$A$34,0)),""))</f>
        <v/>
      </c>
      <c r="AG195" s="38"/>
      <c r="AH195" s="38"/>
      <c r="AI195" s="38"/>
      <c r="AJ195" s="41"/>
      <c r="AK195" s="41"/>
      <c r="AL195" s="38"/>
      <c r="AM195" s="41"/>
      <c r="AN195" s="38"/>
      <c r="AO195" s="38"/>
      <c r="AP195" s="38"/>
      <c r="AQ195" s="38"/>
      <c r="AR195" s="41"/>
      <c r="AS195" s="40"/>
      <c r="AT195" s="39"/>
      <c r="AU195" s="41"/>
      <c r="AV195" s="43" t="str">
        <f aca="false">IF(OR(A195="",NOT(ISNUMBER(AD195))),"",P_MinUrlaubWerktage/6*AD195)</f>
        <v/>
      </c>
      <c r="AW195" s="43" t="str">
        <f aca="false">IF(A195="","",IF(M195="Ja",P_ZusatzSB*IF(ISNUMBER(AD195),AD195,5)/5,0))</f>
        <v/>
      </c>
      <c r="AX195" s="41"/>
      <c r="AY195" s="39"/>
      <c r="AZ195" s="43" t="str">
        <f aca="false">IF(OR(A195="",NOT(ISNUMBER(AU195))),"",SUM(AU195,AW195,AX195))</f>
        <v/>
      </c>
      <c r="BA195" s="38"/>
      <c r="BB195" s="44"/>
      <c r="BC195" s="44"/>
      <c r="BD195" s="45" t="str">
        <f aca="false">IF(A195="","",IF(BA195="Stundenlohn",IF(ISNUMBER(BC195),BC195,""),IF(AND(ISNUMBER(BB195),ISNUMBER(AC195)),IF(AC195&gt;0,BB195*12/(AC195*52),""),"")))</f>
        <v/>
      </c>
      <c r="BE195" s="46" t="str">
        <f aca="false">IF(OR(A195="",NOT(ISNUMBER(F195))),"",IFERROR(DATEDIF(F195,P_Stichtag,"Y"),""))</f>
        <v/>
      </c>
      <c r="BF195" s="47" t="str">
        <f aca="false">IF(OR(A195="",NOT(ISNUMBER(BE195))),"",IF(BE195&lt;18,"Ja","Nein"))</f>
        <v/>
      </c>
      <c r="BG195" s="48" t="str">
        <f aca="false">IF(A195="","",IF((IF(OR(B195="",C195="",F195="",N195="",Q195="",AB195="",AC195="",AD195="",AU195=""),"Pflichtfelder fehlen; ","")&amp;IF(AND(ISNUMBER(AC195),AC195&gt;P_MaxWoche),"Wochenstunden &gt; Prüfgrenze; ","")&amp;IF(AND(BF195="Ja",ISNUMBER(AC195),AC195&gt;P_MaxWocheJugend),"Jugendlicher &gt; 40 h/Woche; ","")&amp;IF(AND(ISNUMBER(BD195),BD195&lt;P_Mindestlohn,Q195&lt;&gt;"Auszubildende/r",Q195&lt;&gt;"Praktikant/in"),"Mindestlohn unterschritten?; ","")&amp;IF(AND(Q195="Minijob (geringfügig)",ISNUMBER(BB195),BB195&gt;P_Minijob),"Minijob-Grenze überschritten; ","")&amp;IF(AND(R195="Ja",S195=""),"Befristung ohne Enddatum; ","")&amp;IF(AND(ISNUMBER(O195),ISNUMBER(N195),O195&lt;N195),"Austritt vor Eintritt; ","")&amp;IF(AND(ISNUMBER(AU195),ISNUMBER(AV195),AU195&lt;AV195),"Urlaub unter gesetzl. Minimum; ","")&amp;IF(AND(ISNUMBER(AC195),ISNUMBER(AF195),ABS(N(AC195)-N(AF195))&gt;0.01),"Wochenstd. weichen vom Modell ab; ","")&amp;IF(AND(AI195="Ja",OR(AJ195="",AK195="")),"Kontogrenzen fehlen; ","")&amp;IF(AND(AL195="Mit Gehalt abgegolten (Pauschale)",AM195=""),"Überstunden-Pauschale fehlt; ",""))="","OK",IF(OR(B195="",C195="",F195="",N195="",Q195="",AB195="",AC195="",AD195="",AU195=""),"Pflichtfelder fehlen; ","")&amp;IF(AND(ISNUMBER(AC195),AC195&gt;P_MaxWoche),"Wochenstunden &gt; Prüfgrenze; ","")&amp;IF(AND(BF195="Ja",ISNUMBER(AC195),AC195&gt;P_MaxWocheJugend),"Jugendlicher &gt; 40 h/Woche; ","")&amp;IF(AND(ISNUMBER(BD195),BD195&lt;P_Mindestlohn,Q195&lt;&gt;"Auszubildende/r",Q195&lt;&gt;"Praktikant/in"),"Mindestlohn unterschritten?; ","")&amp;IF(AND(Q195="Minijob (geringfügig)",ISNUMBER(BB195),BB195&gt;P_Minijob),"Minijob-Grenze überschritten; ","")&amp;IF(AND(R195="Ja",S195=""),"Befristung ohne Enddatum; ","")&amp;IF(AND(ISNUMBER(O195),ISNUMBER(N195),O195&lt;N195),"Austritt vor Eintritt; ","")&amp;IF(AND(ISNUMBER(AU195),ISNUMBER(AV195),AU195&lt;AV195),"Urlaub unter gesetzl. Minimum; ","")&amp;IF(AND(ISNUMBER(AC195),ISNUMBER(AF195),ABS(N(AC195)-N(AF195))&gt;0.01),"Wochenstd. weichen vom Modell ab; ","")&amp;IF(AND(AI195="Ja",OR(AJ195="",AK195="")),"Kontogrenzen fehlen; ","")&amp;IF(AND(AL195="Mit Gehalt abgegolten (Pauschale)",AM195=""),"Überstunden-Pauschale fehlt; ","")))</f>
        <v/>
      </c>
      <c r="BH195" s="38"/>
    </row>
    <row r="196" customFormat="false" ht="15" hidden="false" customHeight="false" outlineLevel="0" collapsed="false">
      <c r="A196" s="37"/>
      <c r="B196" s="38"/>
      <c r="C196" s="38"/>
      <c r="D196" s="38"/>
      <c r="E196" s="38"/>
      <c r="F196" s="39"/>
      <c r="G196" s="38"/>
      <c r="H196" s="38"/>
      <c r="I196" s="37"/>
      <c r="J196" s="38"/>
      <c r="K196" s="38"/>
      <c r="L196" s="38"/>
      <c r="M196" s="38"/>
      <c r="N196" s="39"/>
      <c r="O196" s="39"/>
      <c r="P196" s="38"/>
      <c r="Q196" s="38"/>
      <c r="R196" s="38"/>
      <c r="S196" s="39"/>
      <c r="T196" s="39"/>
      <c r="U196" s="38"/>
      <c r="V196" s="38"/>
      <c r="W196" s="37"/>
      <c r="X196" s="38"/>
      <c r="Y196" s="38"/>
      <c r="Z196" s="37"/>
      <c r="AA196" s="38"/>
      <c r="AB196" s="38"/>
      <c r="AC196" s="40"/>
      <c r="AD196" s="41"/>
      <c r="AE196" s="42" t="str">
        <f aca="false">IF(OR(A196="",NOT(ISNUMBER(AC196)),NOT(ISNUMBER(AD196))),"",IF(AD196&gt;0,AC196/AD196,""))</f>
        <v/>
      </c>
      <c r="AF196" s="42" t="str">
        <f aca="false">IF(OR(A196="",AB196=""),"",IFERROR(INDEX(Arbeitszeitmodelle!$C$5:$C$34,MATCH(AB196,Arbeitszeitmodelle!$A$5:$A$34,0)),""))</f>
        <v/>
      </c>
      <c r="AG196" s="38"/>
      <c r="AH196" s="38"/>
      <c r="AI196" s="38"/>
      <c r="AJ196" s="41"/>
      <c r="AK196" s="41"/>
      <c r="AL196" s="38"/>
      <c r="AM196" s="41"/>
      <c r="AN196" s="38"/>
      <c r="AO196" s="38"/>
      <c r="AP196" s="38"/>
      <c r="AQ196" s="38"/>
      <c r="AR196" s="41"/>
      <c r="AS196" s="40"/>
      <c r="AT196" s="39"/>
      <c r="AU196" s="41"/>
      <c r="AV196" s="43" t="str">
        <f aca="false">IF(OR(A196="",NOT(ISNUMBER(AD196))),"",P_MinUrlaubWerktage/6*AD196)</f>
        <v/>
      </c>
      <c r="AW196" s="43" t="str">
        <f aca="false">IF(A196="","",IF(M196="Ja",P_ZusatzSB*IF(ISNUMBER(AD196),AD196,5)/5,0))</f>
        <v/>
      </c>
      <c r="AX196" s="41"/>
      <c r="AY196" s="39"/>
      <c r="AZ196" s="43" t="str">
        <f aca="false">IF(OR(A196="",NOT(ISNUMBER(AU196))),"",SUM(AU196,AW196,AX196))</f>
        <v/>
      </c>
      <c r="BA196" s="38"/>
      <c r="BB196" s="44"/>
      <c r="BC196" s="44"/>
      <c r="BD196" s="45" t="str">
        <f aca="false">IF(A196="","",IF(BA196="Stundenlohn",IF(ISNUMBER(BC196),BC196,""),IF(AND(ISNUMBER(BB196),ISNUMBER(AC196)),IF(AC196&gt;0,BB196*12/(AC196*52),""),"")))</f>
        <v/>
      </c>
      <c r="BE196" s="46" t="str">
        <f aca="false">IF(OR(A196="",NOT(ISNUMBER(F196))),"",IFERROR(DATEDIF(F196,P_Stichtag,"Y"),""))</f>
        <v/>
      </c>
      <c r="BF196" s="47" t="str">
        <f aca="false">IF(OR(A196="",NOT(ISNUMBER(BE196))),"",IF(BE196&lt;18,"Ja","Nein"))</f>
        <v/>
      </c>
      <c r="BG196" s="48" t="str">
        <f aca="false">IF(A196="","",IF((IF(OR(B196="",C196="",F196="",N196="",Q196="",AB196="",AC196="",AD196="",AU196=""),"Pflichtfelder fehlen; ","")&amp;IF(AND(ISNUMBER(AC196),AC196&gt;P_MaxWoche),"Wochenstunden &gt; Prüfgrenze; ","")&amp;IF(AND(BF196="Ja",ISNUMBER(AC196),AC196&gt;P_MaxWocheJugend),"Jugendlicher &gt; 40 h/Woche; ","")&amp;IF(AND(ISNUMBER(BD196),BD196&lt;P_Mindestlohn,Q196&lt;&gt;"Auszubildende/r",Q196&lt;&gt;"Praktikant/in"),"Mindestlohn unterschritten?; ","")&amp;IF(AND(Q196="Minijob (geringfügig)",ISNUMBER(BB196),BB196&gt;P_Minijob),"Minijob-Grenze überschritten; ","")&amp;IF(AND(R196="Ja",S196=""),"Befristung ohne Enddatum; ","")&amp;IF(AND(ISNUMBER(O196),ISNUMBER(N196),O196&lt;N196),"Austritt vor Eintritt; ","")&amp;IF(AND(ISNUMBER(AU196),ISNUMBER(AV196),AU196&lt;AV196),"Urlaub unter gesetzl. Minimum; ","")&amp;IF(AND(ISNUMBER(AC196),ISNUMBER(AF196),ABS(N(AC196)-N(AF196))&gt;0.01),"Wochenstd. weichen vom Modell ab; ","")&amp;IF(AND(AI196="Ja",OR(AJ196="",AK196="")),"Kontogrenzen fehlen; ","")&amp;IF(AND(AL196="Mit Gehalt abgegolten (Pauschale)",AM196=""),"Überstunden-Pauschale fehlt; ",""))="","OK",IF(OR(B196="",C196="",F196="",N196="",Q196="",AB196="",AC196="",AD196="",AU196=""),"Pflichtfelder fehlen; ","")&amp;IF(AND(ISNUMBER(AC196),AC196&gt;P_MaxWoche),"Wochenstunden &gt; Prüfgrenze; ","")&amp;IF(AND(BF196="Ja",ISNUMBER(AC196),AC196&gt;P_MaxWocheJugend),"Jugendlicher &gt; 40 h/Woche; ","")&amp;IF(AND(ISNUMBER(BD196),BD196&lt;P_Mindestlohn,Q196&lt;&gt;"Auszubildende/r",Q196&lt;&gt;"Praktikant/in"),"Mindestlohn unterschritten?; ","")&amp;IF(AND(Q196="Minijob (geringfügig)",ISNUMBER(BB196),BB196&gt;P_Minijob),"Minijob-Grenze überschritten; ","")&amp;IF(AND(R196="Ja",S196=""),"Befristung ohne Enddatum; ","")&amp;IF(AND(ISNUMBER(O196),ISNUMBER(N196),O196&lt;N196),"Austritt vor Eintritt; ","")&amp;IF(AND(ISNUMBER(AU196),ISNUMBER(AV196),AU196&lt;AV196),"Urlaub unter gesetzl. Minimum; ","")&amp;IF(AND(ISNUMBER(AC196),ISNUMBER(AF196),ABS(N(AC196)-N(AF196))&gt;0.01),"Wochenstd. weichen vom Modell ab; ","")&amp;IF(AND(AI196="Ja",OR(AJ196="",AK196="")),"Kontogrenzen fehlen; ","")&amp;IF(AND(AL196="Mit Gehalt abgegolten (Pauschale)",AM196=""),"Überstunden-Pauschale fehlt; ","")))</f>
        <v/>
      </c>
      <c r="BH196" s="38"/>
    </row>
    <row r="197" customFormat="false" ht="15" hidden="false" customHeight="false" outlineLevel="0" collapsed="false">
      <c r="A197" s="37"/>
      <c r="B197" s="38"/>
      <c r="C197" s="38"/>
      <c r="D197" s="38"/>
      <c r="E197" s="38"/>
      <c r="F197" s="39"/>
      <c r="G197" s="38"/>
      <c r="H197" s="38"/>
      <c r="I197" s="37"/>
      <c r="J197" s="38"/>
      <c r="K197" s="38"/>
      <c r="L197" s="38"/>
      <c r="M197" s="38"/>
      <c r="N197" s="39"/>
      <c r="O197" s="39"/>
      <c r="P197" s="38"/>
      <c r="Q197" s="38"/>
      <c r="R197" s="38"/>
      <c r="S197" s="39"/>
      <c r="T197" s="39"/>
      <c r="U197" s="38"/>
      <c r="V197" s="38"/>
      <c r="W197" s="37"/>
      <c r="X197" s="38"/>
      <c r="Y197" s="38"/>
      <c r="Z197" s="37"/>
      <c r="AA197" s="38"/>
      <c r="AB197" s="38"/>
      <c r="AC197" s="40"/>
      <c r="AD197" s="41"/>
      <c r="AE197" s="42" t="str">
        <f aca="false">IF(OR(A197="",NOT(ISNUMBER(AC197)),NOT(ISNUMBER(AD197))),"",IF(AD197&gt;0,AC197/AD197,""))</f>
        <v/>
      </c>
      <c r="AF197" s="42" t="str">
        <f aca="false">IF(OR(A197="",AB197=""),"",IFERROR(INDEX(Arbeitszeitmodelle!$C$5:$C$34,MATCH(AB197,Arbeitszeitmodelle!$A$5:$A$34,0)),""))</f>
        <v/>
      </c>
      <c r="AG197" s="38"/>
      <c r="AH197" s="38"/>
      <c r="AI197" s="38"/>
      <c r="AJ197" s="41"/>
      <c r="AK197" s="41"/>
      <c r="AL197" s="38"/>
      <c r="AM197" s="41"/>
      <c r="AN197" s="38"/>
      <c r="AO197" s="38"/>
      <c r="AP197" s="38"/>
      <c r="AQ197" s="38"/>
      <c r="AR197" s="41"/>
      <c r="AS197" s="40"/>
      <c r="AT197" s="39"/>
      <c r="AU197" s="41"/>
      <c r="AV197" s="43" t="str">
        <f aca="false">IF(OR(A197="",NOT(ISNUMBER(AD197))),"",P_MinUrlaubWerktage/6*AD197)</f>
        <v/>
      </c>
      <c r="AW197" s="43" t="str">
        <f aca="false">IF(A197="","",IF(M197="Ja",P_ZusatzSB*IF(ISNUMBER(AD197),AD197,5)/5,0))</f>
        <v/>
      </c>
      <c r="AX197" s="41"/>
      <c r="AY197" s="39"/>
      <c r="AZ197" s="43" t="str">
        <f aca="false">IF(OR(A197="",NOT(ISNUMBER(AU197))),"",SUM(AU197,AW197,AX197))</f>
        <v/>
      </c>
      <c r="BA197" s="38"/>
      <c r="BB197" s="44"/>
      <c r="BC197" s="44"/>
      <c r="BD197" s="45" t="str">
        <f aca="false">IF(A197="","",IF(BA197="Stundenlohn",IF(ISNUMBER(BC197),BC197,""),IF(AND(ISNUMBER(BB197),ISNUMBER(AC197)),IF(AC197&gt;0,BB197*12/(AC197*52),""),"")))</f>
        <v/>
      </c>
      <c r="BE197" s="46" t="str">
        <f aca="false">IF(OR(A197="",NOT(ISNUMBER(F197))),"",IFERROR(DATEDIF(F197,P_Stichtag,"Y"),""))</f>
        <v/>
      </c>
      <c r="BF197" s="47" t="str">
        <f aca="false">IF(OR(A197="",NOT(ISNUMBER(BE197))),"",IF(BE197&lt;18,"Ja","Nein"))</f>
        <v/>
      </c>
      <c r="BG197" s="48" t="str">
        <f aca="false">IF(A197="","",IF((IF(OR(B197="",C197="",F197="",N197="",Q197="",AB197="",AC197="",AD197="",AU197=""),"Pflichtfelder fehlen; ","")&amp;IF(AND(ISNUMBER(AC197),AC197&gt;P_MaxWoche),"Wochenstunden &gt; Prüfgrenze; ","")&amp;IF(AND(BF197="Ja",ISNUMBER(AC197),AC197&gt;P_MaxWocheJugend),"Jugendlicher &gt; 40 h/Woche; ","")&amp;IF(AND(ISNUMBER(BD197),BD197&lt;P_Mindestlohn,Q197&lt;&gt;"Auszubildende/r",Q197&lt;&gt;"Praktikant/in"),"Mindestlohn unterschritten?; ","")&amp;IF(AND(Q197="Minijob (geringfügig)",ISNUMBER(BB197),BB197&gt;P_Minijob),"Minijob-Grenze überschritten; ","")&amp;IF(AND(R197="Ja",S197=""),"Befristung ohne Enddatum; ","")&amp;IF(AND(ISNUMBER(O197),ISNUMBER(N197),O197&lt;N197),"Austritt vor Eintritt; ","")&amp;IF(AND(ISNUMBER(AU197),ISNUMBER(AV197),AU197&lt;AV197),"Urlaub unter gesetzl. Minimum; ","")&amp;IF(AND(ISNUMBER(AC197),ISNUMBER(AF197),ABS(N(AC197)-N(AF197))&gt;0.01),"Wochenstd. weichen vom Modell ab; ","")&amp;IF(AND(AI197="Ja",OR(AJ197="",AK197="")),"Kontogrenzen fehlen; ","")&amp;IF(AND(AL197="Mit Gehalt abgegolten (Pauschale)",AM197=""),"Überstunden-Pauschale fehlt; ",""))="","OK",IF(OR(B197="",C197="",F197="",N197="",Q197="",AB197="",AC197="",AD197="",AU197=""),"Pflichtfelder fehlen; ","")&amp;IF(AND(ISNUMBER(AC197),AC197&gt;P_MaxWoche),"Wochenstunden &gt; Prüfgrenze; ","")&amp;IF(AND(BF197="Ja",ISNUMBER(AC197),AC197&gt;P_MaxWocheJugend),"Jugendlicher &gt; 40 h/Woche; ","")&amp;IF(AND(ISNUMBER(BD197),BD197&lt;P_Mindestlohn,Q197&lt;&gt;"Auszubildende/r",Q197&lt;&gt;"Praktikant/in"),"Mindestlohn unterschritten?; ","")&amp;IF(AND(Q197="Minijob (geringfügig)",ISNUMBER(BB197),BB197&gt;P_Minijob),"Minijob-Grenze überschritten; ","")&amp;IF(AND(R197="Ja",S197=""),"Befristung ohne Enddatum; ","")&amp;IF(AND(ISNUMBER(O197),ISNUMBER(N197),O197&lt;N197),"Austritt vor Eintritt; ","")&amp;IF(AND(ISNUMBER(AU197),ISNUMBER(AV197),AU197&lt;AV197),"Urlaub unter gesetzl. Minimum; ","")&amp;IF(AND(ISNUMBER(AC197),ISNUMBER(AF197),ABS(N(AC197)-N(AF197))&gt;0.01),"Wochenstd. weichen vom Modell ab; ","")&amp;IF(AND(AI197="Ja",OR(AJ197="",AK197="")),"Kontogrenzen fehlen; ","")&amp;IF(AND(AL197="Mit Gehalt abgegolten (Pauschale)",AM197=""),"Überstunden-Pauschale fehlt; ","")))</f>
        <v/>
      </c>
      <c r="BH197" s="38"/>
    </row>
    <row r="198" customFormat="false" ht="15" hidden="false" customHeight="false" outlineLevel="0" collapsed="false">
      <c r="A198" s="37"/>
      <c r="B198" s="38"/>
      <c r="C198" s="38"/>
      <c r="D198" s="38"/>
      <c r="E198" s="38"/>
      <c r="F198" s="39"/>
      <c r="G198" s="38"/>
      <c r="H198" s="38"/>
      <c r="I198" s="37"/>
      <c r="J198" s="38"/>
      <c r="K198" s="38"/>
      <c r="L198" s="38"/>
      <c r="M198" s="38"/>
      <c r="N198" s="39"/>
      <c r="O198" s="39"/>
      <c r="P198" s="38"/>
      <c r="Q198" s="38"/>
      <c r="R198" s="38"/>
      <c r="S198" s="39"/>
      <c r="T198" s="39"/>
      <c r="U198" s="38"/>
      <c r="V198" s="38"/>
      <c r="W198" s="37"/>
      <c r="X198" s="38"/>
      <c r="Y198" s="38"/>
      <c r="Z198" s="37"/>
      <c r="AA198" s="38"/>
      <c r="AB198" s="38"/>
      <c r="AC198" s="40"/>
      <c r="AD198" s="41"/>
      <c r="AE198" s="42" t="str">
        <f aca="false">IF(OR(A198="",NOT(ISNUMBER(AC198)),NOT(ISNUMBER(AD198))),"",IF(AD198&gt;0,AC198/AD198,""))</f>
        <v/>
      </c>
      <c r="AF198" s="42" t="str">
        <f aca="false">IF(OR(A198="",AB198=""),"",IFERROR(INDEX(Arbeitszeitmodelle!$C$5:$C$34,MATCH(AB198,Arbeitszeitmodelle!$A$5:$A$34,0)),""))</f>
        <v/>
      </c>
      <c r="AG198" s="38"/>
      <c r="AH198" s="38"/>
      <c r="AI198" s="38"/>
      <c r="AJ198" s="41"/>
      <c r="AK198" s="41"/>
      <c r="AL198" s="38"/>
      <c r="AM198" s="41"/>
      <c r="AN198" s="38"/>
      <c r="AO198" s="38"/>
      <c r="AP198" s="38"/>
      <c r="AQ198" s="38"/>
      <c r="AR198" s="41"/>
      <c r="AS198" s="40"/>
      <c r="AT198" s="39"/>
      <c r="AU198" s="41"/>
      <c r="AV198" s="43" t="str">
        <f aca="false">IF(OR(A198="",NOT(ISNUMBER(AD198))),"",P_MinUrlaubWerktage/6*AD198)</f>
        <v/>
      </c>
      <c r="AW198" s="43" t="str">
        <f aca="false">IF(A198="","",IF(M198="Ja",P_ZusatzSB*IF(ISNUMBER(AD198),AD198,5)/5,0))</f>
        <v/>
      </c>
      <c r="AX198" s="41"/>
      <c r="AY198" s="39"/>
      <c r="AZ198" s="43" t="str">
        <f aca="false">IF(OR(A198="",NOT(ISNUMBER(AU198))),"",SUM(AU198,AW198,AX198))</f>
        <v/>
      </c>
      <c r="BA198" s="38"/>
      <c r="BB198" s="44"/>
      <c r="BC198" s="44"/>
      <c r="BD198" s="45" t="str">
        <f aca="false">IF(A198="","",IF(BA198="Stundenlohn",IF(ISNUMBER(BC198),BC198,""),IF(AND(ISNUMBER(BB198),ISNUMBER(AC198)),IF(AC198&gt;0,BB198*12/(AC198*52),""),"")))</f>
        <v/>
      </c>
      <c r="BE198" s="46" t="str">
        <f aca="false">IF(OR(A198="",NOT(ISNUMBER(F198))),"",IFERROR(DATEDIF(F198,P_Stichtag,"Y"),""))</f>
        <v/>
      </c>
      <c r="BF198" s="47" t="str">
        <f aca="false">IF(OR(A198="",NOT(ISNUMBER(BE198))),"",IF(BE198&lt;18,"Ja","Nein"))</f>
        <v/>
      </c>
      <c r="BG198" s="48" t="str">
        <f aca="false">IF(A198="","",IF((IF(OR(B198="",C198="",F198="",N198="",Q198="",AB198="",AC198="",AD198="",AU198=""),"Pflichtfelder fehlen; ","")&amp;IF(AND(ISNUMBER(AC198),AC198&gt;P_MaxWoche),"Wochenstunden &gt; Prüfgrenze; ","")&amp;IF(AND(BF198="Ja",ISNUMBER(AC198),AC198&gt;P_MaxWocheJugend),"Jugendlicher &gt; 40 h/Woche; ","")&amp;IF(AND(ISNUMBER(BD198),BD198&lt;P_Mindestlohn,Q198&lt;&gt;"Auszubildende/r",Q198&lt;&gt;"Praktikant/in"),"Mindestlohn unterschritten?; ","")&amp;IF(AND(Q198="Minijob (geringfügig)",ISNUMBER(BB198),BB198&gt;P_Minijob),"Minijob-Grenze überschritten; ","")&amp;IF(AND(R198="Ja",S198=""),"Befristung ohne Enddatum; ","")&amp;IF(AND(ISNUMBER(O198),ISNUMBER(N198),O198&lt;N198),"Austritt vor Eintritt; ","")&amp;IF(AND(ISNUMBER(AU198),ISNUMBER(AV198),AU198&lt;AV198),"Urlaub unter gesetzl. Minimum; ","")&amp;IF(AND(ISNUMBER(AC198),ISNUMBER(AF198),ABS(N(AC198)-N(AF198))&gt;0.01),"Wochenstd. weichen vom Modell ab; ","")&amp;IF(AND(AI198="Ja",OR(AJ198="",AK198="")),"Kontogrenzen fehlen; ","")&amp;IF(AND(AL198="Mit Gehalt abgegolten (Pauschale)",AM198=""),"Überstunden-Pauschale fehlt; ",""))="","OK",IF(OR(B198="",C198="",F198="",N198="",Q198="",AB198="",AC198="",AD198="",AU198=""),"Pflichtfelder fehlen; ","")&amp;IF(AND(ISNUMBER(AC198),AC198&gt;P_MaxWoche),"Wochenstunden &gt; Prüfgrenze; ","")&amp;IF(AND(BF198="Ja",ISNUMBER(AC198),AC198&gt;P_MaxWocheJugend),"Jugendlicher &gt; 40 h/Woche; ","")&amp;IF(AND(ISNUMBER(BD198),BD198&lt;P_Mindestlohn,Q198&lt;&gt;"Auszubildende/r",Q198&lt;&gt;"Praktikant/in"),"Mindestlohn unterschritten?; ","")&amp;IF(AND(Q198="Minijob (geringfügig)",ISNUMBER(BB198),BB198&gt;P_Minijob),"Minijob-Grenze überschritten; ","")&amp;IF(AND(R198="Ja",S198=""),"Befristung ohne Enddatum; ","")&amp;IF(AND(ISNUMBER(O198),ISNUMBER(N198),O198&lt;N198),"Austritt vor Eintritt; ","")&amp;IF(AND(ISNUMBER(AU198),ISNUMBER(AV198),AU198&lt;AV198),"Urlaub unter gesetzl. Minimum; ","")&amp;IF(AND(ISNUMBER(AC198),ISNUMBER(AF198),ABS(N(AC198)-N(AF198))&gt;0.01),"Wochenstd. weichen vom Modell ab; ","")&amp;IF(AND(AI198="Ja",OR(AJ198="",AK198="")),"Kontogrenzen fehlen; ","")&amp;IF(AND(AL198="Mit Gehalt abgegolten (Pauschale)",AM198=""),"Überstunden-Pauschale fehlt; ","")))</f>
        <v/>
      </c>
      <c r="BH198" s="38"/>
    </row>
    <row r="199" customFormat="false" ht="15" hidden="false" customHeight="false" outlineLevel="0" collapsed="false">
      <c r="A199" s="37"/>
      <c r="B199" s="38"/>
      <c r="C199" s="38"/>
      <c r="D199" s="38"/>
      <c r="E199" s="38"/>
      <c r="F199" s="39"/>
      <c r="G199" s="38"/>
      <c r="H199" s="38"/>
      <c r="I199" s="37"/>
      <c r="J199" s="38"/>
      <c r="K199" s="38"/>
      <c r="L199" s="38"/>
      <c r="M199" s="38"/>
      <c r="N199" s="39"/>
      <c r="O199" s="39"/>
      <c r="P199" s="38"/>
      <c r="Q199" s="38"/>
      <c r="R199" s="38"/>
      <c r="S199" s="39"/>
      <c r="T199" s="39"/>
      <c r="U199" s="38"/>
      <c r="V199" s="38"/>
      <c r="W199" s="37"/>
      <c r="X199" s="38"/>
      <c r="Y199" s="38"/>
      <c r="Z199" s="37"/>
      <c r="AA199" s="38"/>
      <c r="AB199" s="38"/>
      <c r="AC199" s="40"/>
      <c r="AD199" s="41"/>
      <c r="AE199" s="42" t="str">
        <f aca="false">IF(OR(A199="",NOT(ISNUMBER(AC199)),NOT(ISNUMBER(AD199))),"",IF(AD199&gt;0,AC199/AD199,""))</f>
        <v/>
      </c>
      <c r="AF199" s="42" t="str">
        <f aca="false">IF(OR(A199="",AB199=""),"",IFERROR(INDEX(Arbeitszeitmodelle!$C$5:$C$34,MATCH(AB199,Arbeitszeitmodelle!$A$5:$A$34,0)),""))</f>
        <v/>
      </c>
      <c r="AG199" s="38"/>
      <c r="AH199" s="38"/>
      <c r="AI199" s="38"/>
      <c r="AJ199" s="41"/>
      <c r="AK199" s="41"/>
      <c r="AL199" s="38"/>
      <c r="AM199" s="41"/>
      <c r="AN199" s="38"/>
      <c r="AO199" s="38"/>
      <c r="AP199" s="38"/>
      <c r="AQ199" s="38"/>
      <c r="AR199" s="41"/>
      <c r="AS199" s="40"/>
      <c r="AT199" s="39"/>
      <c r="AU199" s="41"/>
      <c r="AV199" s="43" t="str">
        <f aca="false">IF(OR(A199="",NOT(ISNUMBER(AD199))),"",P_MinUrlaubWerktage/6*AD199)</f>
        <v/>
      </c>
      <c r="AW199" s="43" t="str">
        <f aca="false">IF(A199="","",IF(M199="Ja",P_ZusatzSB*IF(ISNUMBER(AD199),AD199,5)/5,0))</f>
        <v/>
      </c>
      <c r="AX199" s="41"/>
      <c r="AY199" s="39"/>
      <c r="AZ199" s="43" t="str">
        <f aca="false">IF(OR(A199="",NOT(ISNUMBER(AU199))),"",SUM(AU199,AW199,AX199))</f>
        <v/>
      </c>
      <c r="BA199" s="38"/>
      <c r="BB199" s="44"/>
      <c r="BC199" s="44"/>
      <c r="BD199" s="45" t="str">
        <f aca="false">IF(A199="","",IF(BA199="Stundenlohn",IF(ISNUMBER(BC199),BC199,""),IF(AND(ISNUMBER(BB199),ISNUMBER(AC199)),IF(AC199&gt;0,BB199*12/(AC199*52),""),"")))</f>
        <v/>
      </c>
      <c r="BE199" s="46" t="str">
        <f aca="false">IF(OR(A199="",NOT(ISNUMBER(F199))),"",IFERROR(DATEDIF(F199,P_Stichtag,"Y"),""))</f>
        <v/>
      </c>
      <c r="BF199" s="47" t="str">
        <f aca="false">IF(OR(A199="",NOT(ISNUMBER(BE199))),"",IF(BE199&lt;18,"Ja","Nein"))</f>
        <v/>
      </c>
      <c r="BG199" s="48" t="str">
        <f aca="false">IF(A199="","",IF((IF(OR(B199="",C199="",F199="",N199="",Q199="",AB199="",AC199="",AD199="",AU199=""),"Pflichtfelder fehlen; ","")&amp;IF(AND(ISNUMBER(AC199),AC199&gt;P_MaxWoche),"Wochenstunden &gt; Prüfgrenze; ","")&amp;IF(AND(BF199="Ja",ISNUMBER(AC199),AC199&gt;P_MaxWocheJugend),"Jugendlicher &gt; 40 h/Woche; ","")&amp;IF(AND(ISNUMBER(BD199),BD199&lt;P_Mindestlohn,Q199&lt;&gt;"Auszubildende/r",Q199&lt;&gt;"Praktikant/in"),"Mindestlohn unterschritten?; ","")&amp;IF(AND(Q199="Minijob (geringfügig)",ISNUMBER(BB199),BB199&gt;P_Minijob),"Minijob-Grenze überschritten; ","")&amp;IF(AND(R199="Ja",S199=""),"Befristung ohne Enddatum; ","")&amp;IF(AND(ISNUMBER(O199),ISNUMBER(N199),O199&lt;N199),"Austritt vor Eintritt; ","")&amp;IF(AND(ISNUMBER(AU199),ISNUMBER(AV199),AU199&lt;AV199),"Urlaub unter gesetzl. Minimum; ","")&amp;IF(AND(ISNUMBER(AC199),ISNUMBER(AF199),ABS(N(AC199)-N(AF199))&gt;0.01),"Wochenstd. weichen vom Modell ab; ","")&amp;IF(AND(AI199="Ja",OR(AJ199="",AK199="")),"Kontogrenzen fehlen; ","")&amp;IF(AND(AL199="Mit Gehalt abgegolten (Pauschale)",AM199=""),"Überstunden-Pauschale fehlt; ",""))="","OK",IF(OR(B199="",C199="",F199="",N199="",Q199="",AB199="",AC199="",AD199="",AU199=""),"Pflichtfelder fehlen; ","")&amp;IF(AND(ISNUMBER(AC199),AC199&gt;P_MaxWoche),"Wochenstunden &gt; Prüfgrenze; ","")&amp;IF(AND(BF199="Ja",ISNUMBER(AC199),AC199&gt;P_MaxWocheJugend),"Jugendlicher &gt; 40 h/Woche; ","")&amp;IF(AND(ISNUMBER(BD199),BD199&lt;P_Mindestlohn,Q199&lt;&gt;"Auszubildende/r",Q199&lt;&gt;"Praktikant/in"),"Mindestlohn unterschritten?; ","")&amp;IF(AND(Q199="Minijob (geringfügig)",ISNUMBER(BB199),BB199&gt;P_Minijob),"Minijob-Grenze überschritten; ","")&amp;IF(AND(R199="Ja",S199=""),"Befristung ohne Enddatum; ","")&amp;IF(AND(ISNUMBER(O199),ISNUMBER(N199),O199&lt;N199),"Austritt vor Eintritt; ","")&amp;IF(AND(ISNUMBER(AU199),ISNUMBER(AV199),AU199&lt;AV199),"Urlaub unter gesetzl. Minimum; ","")&amp;IF(AND(ISNUMBER(AC199),ISNUMBER(AF199),ABS(N(AC199)-N(AF199))&gt;0.01),"Wochenstd. weichen vom Modell ab; ","")&amp;IF(AND(AI199="Ja",OR(AJ199="",AK199="")),"Kontogrenzen fehlen; ","")&amp;IF(AND(AL199="Mit Gehalt abgegolten (Pauschale)",AM199=""),"Überstunden-Pauschale fehlt; ","")))</f>
        <v/>
      </c>
      <c r="BH199" s="38"/>
    </row>
    <row r="200" customFormat="false" ht="15" hidden="false" customHeight="false" outlineLevel="0" collapsed="false">
      <c r="A200" s="37"/>
      <c r="B200" s="38"/>
      <c r="C200" s="38"/>
      <c r="D200" s="38"/>
      <c r="E200" s="38"/>
      <c r="F200" s="39"/>
      <c r="G200" s="38"/>
      <c r="H200" s="38"/>
      <c r="I200" s="37"/>
      <c r="J200" s="38"/>
      <c r="K200" s="38"/>
      <c r="L200" s="38"/>
      <c r="M200" s="38"/>
      <c r="N200" s="39"/>
      <c r="O200" s="39"/>
      <c r="P200" s="38"/>
      <c r="Q200" s="38"/>
      <c r="R200" s="38"/>
      <c r="S200" s="39"/>
      <c r="T200" s="39"/>
      <c r="U200" s="38"/>
      <c r="V200" s="38"/>
      <c r="W200" s="37"/>
      <c r="X200" s="38"/>
      <c r="Y200" s="38"/>
      <c r="Z200" s="37"/>
      <c r="AA200" s="38"/>
      <c r="AB200" s="38"/>
      <c r="AC200" s="40"/>
      <c r="AD200" s="41"/>
      <c r="AE200" s="42" t="str">
        <f aca="false">IF(OR(A200="",NOT(ISNUMBER(AC200)),NOT(ISNUMBER(AD200))),"",IF(AD200&gt;0,AC200/AD200,""))</f>
        <v/>
      </c>
      <c r="AF200" s="42" t="str">
        <f aca="false">IF(OR(A200="",AB200=""),"",IFERROR(INDEX(Arbeitszeitmodelle!$C$5:$C$34,MATCH(AB200,Arbeitszeitmodelle!$A$5:$A$34,0)),""))</f>
        <v/>
      </c>
      <c r="AG200" s="38"/>
      <c r="AH200" s="38"/>
      <c r="AI200" s="38"/>
      <c r="AJ200" s="41"/>
      <c r="AK200" s="41"/>
      <c r="AL200" s="38"/>
      <c r="AM200" s="41"/>
      <c r="AN200" s="38"/>
      <c r="AO200" s="38"/>
      <c r="AP200" s="38"/>
      <c r="AQ200" s="38"/>
      <c r="AR200" s="41"/>
      <c r="AS200" s="40"/>
      <c r="AT200" s="39"/>
      <c r="AU200" s="41"/>
      <c r="AV200" s="43" t="str">
        <f aca="false">IF(OR(A200="",NOT(ISNUMBER(AD200))),"",P_MinUrlaubWerktage/6*AD200)</f>
        <v/>
      </c>
      <c r="AW200" s="43" t="str">
        <f aca="false">IF(A200="","",IF(M200="Ja",P_ZusatzSB*IF(ISNUMBER(AD200),AD200,5)/5,0))</f>
        <v/>
      </c>
      <c r="AX200" s="41"/>
      <c r="AY200" s="39"/>
      <c r="AZ200" s="43" t="str">
        <f aca="false">IF(OR(A200="",NOT(ISNUMBER(AU200))),"",SUM(AU200,AW200,AX200))</f>
        <v/>
      </c>
      <c r="BA200" s="38"/>
      <c r="BB200" s="44"/>
      <c r="BC200" s="44"/>
      <c r="BD200" s="45" t="str">
        <f aca="false">IF(A200="","",IF(BA200="Stundenlohn",IF(ISNUMBER(BC200),BC200,""),IF(AND(ISNUMBER(BB200),ISNUMBER(AC200)),IF(AC200&gt;0,BB200*12/(AC200*52),""),"")))</f>
        <v/>
      </c>
      <c r="BE200" s="46" t="str">
        <f aca="false">IF(OR(A200="",NOT(ISNUMBER(F200))),"",IFERROR(DATEDIF(F200,P_Stichtag,"Y"),""))</f>
        <v/>
      </c>
      <c r="BF200" s="47" t="str">
        <f aca="false">IF(OR(A200="",NOT(ISNUMBER(BE200))),"",IF(BE200&lt;18,"Ja","Nein"))</f>
        <v/>
      </c>
      <c r="BG200" s="48" t="str">
        <f aca="false">IF(A200="","",IF((IF(OR(B200="",C200="",F200="",N200="",Q200="",AB200="",AC200="",AD200="",AU200=""),"Pflichtfelder fehlen; ","")&amp;IF(AND(ISNUMBER(AC200),AC200&gt;P_MaxWoche),"Wochenstunden &gt; Prüfgrenze; ","")&amp;IF(AND(BF200="Ja",ISNUMBER(AC200),AC200&gt;P_MaxWocheJugend),"Jugendlicher &gt; 40 h/Woche; ","")&amp;IF(AND(ISNUMBER(BD200),BD200&lt;P_Mindestlohn,Q200&lt;&gt;"Auszubildende/r",Q200&lt;&gt;"Praktikant/in"),"Mindestlohn unterschritten?; ","")&amp;IF(AND(Q200="Minijob (geringfügig)",ISNUMBER(BB200),BB200&gt;P_Minijob),"Minijob-Grenze überschritten; ","")&amp;IF(AND(R200="Ja",S200=""),"Befristung ohne Enddatum; ","")&amp;IF(AND(ISNUMBER(O200),ISNUMBER(N200),O200&lt;N200),"Austritt vor Eintritt; ","")&amp;IF(AND(ISNUMBER(AU200),ISNUMBER(AV200),AU200&lt;AV200),"Urlaub unter gesetzl. Minimum; ","")&amp;IF(AND(ISNUMBER(AC200),ISNUMBER(AF200),ABS(N(AC200)-N(AF200))&gt;0.01),"Wochenstd. weichen vom Modell ab; ","")&amp;IF(AND(AI200="Ja",OR(AJ200="",AK200="")),"Kontogrenzen fehlen; ","")&amp;IF(AND(AL200="Mit Gehalt abgegolten (Pauschale)",AM200=""),"Überstunden-Pauschale fehlt; ",""))="","OK",IF(OR(B200="",C200="",F200="",N200="",Q200="",AB200="",AC200="",AD200="",AU200=""),"Pflichtfelder fehlen; ","")&amp;IF(AND(ISNUMBER(AC200),AC200&gt;P_MaxWoche),"Wochenstunden &gt; Prüfgrenze; ","")&amp;IF(AND(BF200="Ja",ISNUMBER(AC200),AC200&gt;P_MaxWocheJugend),"Jugendlicher &gt; 40 h/Woche; ","")&amp;IF(AND(ISNUMBER(BD200),BD200&lt;P_Mindestlohn,Q200&lt;&gt;"Auszubildende/r",Q200&lt;&gt;"Praktikant/in"),"Mindestlohn unterschritten?; ","")&amp;IF(AND(Q200="Minijob (geringfügig)",ISNUMBER(BB200),BB200&gt;P_Minijob),"Minijob-Grenze überschritten; ","")&amp;IF(AND(R200="Ja",S200=""),"Befristung ohne Enddatum; ","")&amp;IF(AND(ISNUMBER(O200),ISNUMBER(N200),O200&lt;N200),"Austritt vor Eintritt; ","")&amp;IF(AND(ISNUMBER(AU200),ISNUMBER(AV200),AU200&lt;AV200),"Urlaub unter gesetzl. Minimum; ","")&amp;IF(AND(ISNUMBER(AC200),ISNUMBER(AF200),ABS(N(AC200)-N(AF200))&gt;0.01),"Wochenstd. weichen vom Modell ab; ","")&amp;IF(AND(AI200="Ja",OR(AJ200="",AK200="")),"Kontogrenzen fehlen; ","")&amp;IF(AND(AL200="Mit Gehalt abgegolten (Pauschale)",AM200=""),"Überstunden-Pauschale fehlt; ","")))</f>
        <v/>
      </c>
      <c r="BH200" s="38"/>
    </row>
    <row r="201" customFormat="false" ht="15" hidden="false" customHeight="false" outlineLevel="0" collapsed="false">
      <c r="A201" s="37"/>
      <c r="B201" s="38"/>
      <c r="C201" s="38"/>
      <c r="D201" s="38"/>
      <c r="E201" s="38"/>
      <c r="F201" s="39"/>
      <c r="G201" s="38"/>
      <c r="H201" s="38"/>
      <c r="I201" s="37"/>
      <c r="J201" s="38"/>
      <c r="K201" s="38"/>
      <c r="L201" s="38"/>
      <c r="M201" s="38"/>
      <c r="N201" s="39"/>
      <c r="O201" s="39"/>
      <c r="P201" s="38"/>
      <c r="Q201" s="38"/>
      <c r="R201" s="38"/>
      <c r="S201" s="39"/>
      <c r="T201" s="39"/>
      <c r="U201" s="38"/>
      <c r="V201" s="38"/>
      <c r="W201" s="37"/>
      <c r="X201" s="38"/>
      <c r="Y201" s="38"/>
      <c r="Z201" s="37"/>
      <c r="AA201" s="38"/>
      <c r="AB201" s="38"/>
      <c r="AC201" s="40"/>
      <c r="AD201" s="41"/>
      <c r="AE201" s="42" t="str">
        <f aca="false">IF(OR(A201="",NOT(ISNUMBER(AC201)),NOT(ISNUMBER(AD201))),"",IF(AD201&gt;0,AC201/AD201,""))</f>
        <v/>
      </c>
      <c r="AF201" s="42" t="str">
        <f aca="false">IF(OR(A201="",AB201=""),"",IFERROR(INDEX(Arbeitszeitmodelle!$C$5:$C$34,MATCH(AB201,Arbeitszeitmodelle!$A$5:$A$34,0)),""))</f>
        <v/>
      </c>
      <c r="AG201" s="38"/>
      <c r="AH201" s="38"/>
      <c r="AI201" s="38"/>
      <c r="AJ201" s="41"/>
      <c r="AK201" s="41"/>
      <c r="AL201" s="38"/>
      <c r="AM201" s="41"/>
      <c r="AN201" s="38"/>
      <c r="AO201" s="38"/>
      <c r="AP201" s="38"/>
      <c r="AQ201" s="38"/>
      <c r="AR201" s="41"/>
      <c r="AS201" s="40"/>
      <c r="AT201" s="39"/>
      <c r="AU201" s="41"/>
      <c r="AV201" s="43" t="str">
        <f aca="false">IF(OR(A201="",NOT(ISNUMBER(AD201))),"",P_MinUrlaubWerktage/6*AD201)</f>
        <v/>
      </c>
      <c r="AW201" s="43" t="str">
        <f aca="false">IF(A201="","",IF(M201="Ja",P_ZusatzSB*IF(ISNUMBER(AD201),AD201,5)/5,0))</f>
        <v/>
      </c>
      <c r="AX201" s="41"/>
      <c r="AY201" s="39"/>
      <c r="AZ201" s="43" t="str">
        <f aca="false">IF(OR(A201="",NOT(ISNUMBER(AU201))),"",SUM(AU201,AW201,AX201))</f>
        <v/>
      </c>
      <c r="BA201" s="38"/>
      <c r="BB201" s="44"/>
      <c r="BC201" s="44"/>
      <c r="BD201" s="45" t="str">
        <f aca="false">IF(A201="","",IF(BA201="Stundenlohn",IF(ISNUMBER(BC201),BC201,""),IF(AND(ISNUMBER(BB201),ISNUMBER(AC201)),IF(AC201&gt;0,BB201*12/(AC201*52),""),"")))</f>
        <v/>
      </c>
      <c r="BE201" s="46" t="str">
        <f aca="false">IF(OR(A201="",NOT(ISNUMBER(F201))),"",IFERROR(DATEDIF(F201,P_Stichtag,"Y"),""))</f>
        <v/>
      </c>
      <c r="BF201" s="47" t="str">
        <f aca="false">IF(OR(A201="",NOT(ISNUMBER(BE201))),"",IF(BE201&lt;18,"Ja","Nein"))</f>
        <v/>
      </c>
      <c r="BG201" s="48" t="str">
        <f aca="false">IF(A201="","",IF((IF(OR(B201="",C201="",F201="",N201="",Q201="",AB201="",AC201="",AD201="",AU201=""),"Pflichtfelder fehlen; ","")&amp;IF(AND(ISNUMBER(AC201),AC201&gt;P_MaxWoche),"Wochenstunden &gt; Prüfgrenze; ","")&amp;IF(AND(BF201="Ja",ISNUMBER(AC201),AC201&gt;P_MaxWocheJugend),"Jugendlicher &gt; 40 h/Woche; ","")&amp;IF(AND(ISNUMBER(BD201),BD201&lt;P_Mindestlohn,Q201&lt;&gt;"Auszubildende/r",Q201&lt;&gt;"Praktikant/in"),"Mindestlohn unterschritten?; ","")&amp;IF(AND(Q201="Minijob (geringfügig)",ISNUMBER(BB201),BB201&gt;P_Minijob),"Minijob-Grenze überschritten; ","")&amp;IF(AND(R201="Ja",S201=""),"Befristung ohne Enddatum; ","")&amp;IF(AND(ISNUMBER(O201),ISNUMBER(N201),O201&lt;N201),"Austritt vor Eintritt; ","")&amp;IF(AND(ISNUMBER(AU201),ISNUMBER(AV201),AU201&lt;AV201),"Urlaub unter gesetzl. Minimum; ","")&amp;IF(AND(ISNUMBER(AC201),ISNUMBER(AF201),ABS(N(AC201)-N(AF201))&gt;0.01),"Wochenstd. weichen vom Modell ab; ","")&amp;IF(AND(AI201="Ja",OR(AJ201="",AK201="")),"Kontogrenzen fehlen; ","")&amp;IF(AND(AL201="Mit Gehalt abgegolten (Pauschale)",AM201=""),"Überstunden-Pauschale fehlt; ",""))="","OK",IF(OR(B201="",C201="",F201="",N201="",Q201="",AB201="",AC201="",AD201="",AU201=""),"Pflichtfelder fehlen; ","")&amp;IF(AND(ISNUMBER(AC201),AC201&gt;P_MaxWoche),"Wochenstunden &gt; Prüfgrenze; ","")&amp;IF(AND(BF201="Ja",ISNUMBER(AC201),AC201&gt;P_MaxWocheJugend),"Jugendlicher &gt; 40 h/Woche; ","")&amp;IF(AND(ISNUMBER(BD201),BD201&lt;P_Mindestlohn,Q201&lt;&gt;"Auszubildende/r",Q201&lt;&gt;"Praktikant/in"),"Mindestlohn unterschritten?; ","")&amp;IF(AND(Q201="Minijob (geringfügig)",ISNUMBER(BB201),BB201&gt;P_Minijob),"Minijob-Grenze überschritten; ","")&amp;IF(AND(R201="Ja",S201=""),"Befristung ohne Enddatum; ","")&amp;IF(AND(ISNUMBER(O201),ISNUMBER(N201),O201&lt;N201),"Austritt vor Eintritt; ","")&amp;IF(AND(ISNUMBER(AU201),ISNUMBER(AV201),AU201&lt;AV201),"Urlaub unter gesetzl. Minimum; ","")&amp;IF(AND(ISNUMBER(AC201),ISNUMBER(AF201),ABS(N(AC201)-N(AF201))&gt;0.01),"Wochenstd. weichen vom Modell ab; ","")&amp;IF(AND(AI201="Ja",OR(AJ201="",AK201="")),"Kontogrenzen fehlen; ","")&amp;IF(AND(AL201="Mit Gehalt abgegolten (Pauschale)",AM201=""),"Überstunden-Pauschale fehlt; ","")))</f>
        <v/>
      </c>
      <c r="BH201" s="38"/>
    </row>
    <row r="202" customFormat="false" ht="15" hidden="false" customHeight="false" outlineLevel="0" collapsed="false">
      <c r="A202" s="37"/>
      <c r="B202" s="38"/>
      <c r="C202" s="38"/>
      <c r="D202" s="38"/>
      <c r="E202" s="38"/>
      <c r="F202" s="39"/>
      <c r="G202" s="38"/>
      <c r="H202" s="38"/>
      <c r="I202" s="37"/>
      <c r="J202" s="38"/>
      <c r="K202" s="38"/>
      <c r="L202" s="38"/>
      <c r="M202" s="38"/>
      <c r="N202" s="39"/>
      <c r="O202" s="39"/>
      <c r="P202" s="38"/>
      <c r="Q202" s="38"/>
      <c r="R202" s="38"/>
      <c r="S202" s="39"/>
      <c r="T202" s="39"/>
      <c r="U202" s="38"/>
      <c r="V202" s="38"/>
      <c r="W202" s="37"/>
      <c r="X202" s="38"/>
      <c r="Y202" s="38"/>
      <c r="Z202" s="37"/>
      <c r="AA202" s="38"/>
      <c r="AB202" s="38"/>
      <c r="AC202" s="40"/>
      <c r="AD202" s="41"/>
      <c r="AE202" s="42" t="str">
        <f aca="false">IF(OR(A202="",NOT(ISNUMBER(AC202)),NOT(ISNUMBER(AD202))),"",IF(AD202&gt;0,AC202/AD202,""))</f>
        <v/>
      </c>
      <c r="AF202" s="42" t="str">
        <f aca="false">IF(OR(A202="",AB202=""),"",IFERROR(INDEX(Arbeitszeitmodelle!$C$5:$C$34,MATCH(AB202,Arbeitszeitmodelle!$A$5:$A$34,0)),""))</f>
        <v/>
      </c>
      <c r="AG202" s="38"/>
      <c r="AH202" s="38"/>
      <c r="AI202" s="38"/>
      <c r="AJ202" s="41"/>
      <c r="AK202" s="41"/>
      <c r="AL202" s="38"/>
      <c r="AM202" s="41"/>
      <c r="AN202" s="38"/>
      <c r="AO202" s="38"/>
      <c r="AP202" s="38"/>
      <c r="AQ202" s="38"/>
      <c r="AR202" s="41"/>
      <c r="AS202" s="40"/>
      <c r="AT202" s="39"/>
      <c r="AU202" s="41"/>
      <c r="AV202" s="43" t="str">
        <f aca="false">IF(OR(A202="",NOT(ISNUMBER(AD202))),"",P_MinUrlaubWerktage/6*AD202)</f>
        <v/>
      </c>
      <c r="AW202" s="43" t="str">
        <f aca="false">IF(A202="","",IF(M202="Ja",P_ZusatzSB*IF(ISNUMBER(AD202),AD202,5)/5,0))</f>
        <v/>
      </c>
      <c r="AX202" s="41"/>
      <c r="AY202" s="39"/>
      <c r="AZ202" s="43" t="str">
        <f aca="false">IF(OR(A202="",NOT(ISNUMBER(AU202))),"",SUM(AU202,AW202,AX202))</f>
        <v/>
      </c>
      <c r="BA202" s="38"/>
      <c r="BB202" s="44"/>
      <c r="BC202" s="44"/>
      <c r="BD202" s="45" t="str">
        <f aca="false">IF(A202="","",IF(BA202="Stundenlohn",IF(ISNUMBER(BC202),BC202,""),IF(AND(ISNUMBER(BB202),ISNUMBER(AC202)),IF(AC202&gt;0,BB202*12/(AC202*52),""),"")))</f>
        <v/>
      </c>
      <c r="BE202" s="46" t="str">
        <f aca="false">IF(OR(A202="",NOT(ISNUMBER(F202))),"",IFERROR(DATEDIF(F202,P_Stichtag,"Y"),""))</f>
        <v/>
      </c>
      <c r="BF202" s="47" t="str">
        <f aca="false">IF(OR(A202="",NOT(ISNUMBER(BE202))),"",IF(BE202&lt;18,"Ja","Nein"))</f>
        <v/>
      </c>
      <c r="BG202" s="48" t="str">
        <f aca="false">IF(A202="","",IF((IF(OR(B202="",C202="",F202="",N202="",Q202="",AB202="",AC202="",AD202="",AU202=""),"Pflichtfelder fehlen; ","")&amp;IF(AND(ISNUMBER(AC202),AC202&gt;P_MaxWoche),"Wochenstunden &gt; Prüfgrenze; ","")&amp;IF(AND(BF202="Ja",ISNUMBER(AC202),AC202&gt;P_MaxWocheJugend),"Jugendlicher &gt; 40 h/Woche; ","")&amp;IF(AND(ISNUMBER(BD202),BD202&lt;P_Mindestlohn,Q202&lt;&gt;"Auszubildende/r",Q202&lt;&gt;"Praktikant/in"),"Mindestlohn unterschritten?; ","")&amp;IF(AND(Q202="Minijob (geringfügig)",ISNUMBER(BB202),BB202&gt;P_Minijob),"Minijob-Grenze überschritten; ","")&amp;IF(AND(R202="Ja",S202=""),"Befristung ohne Enddatum; ","")&amp;IF(AND(ISNUMBER(O202),ISNUMBER(N202),O202&lt;N202),"Austritt vor Eintritt; ","")&amp;IF(AND(ISNUMBER(AU202),ISNUMBER(AV202),AU202&lt;AV202),"Urlaub unter gesetzl. Minimum; ","")&amp;IF(AND(ISNUMBER(AC202),ISNUMBER(AF202),ABS(N(AC202)-N(AF202))&gt;0.01),"Wochenstd. weichen vom Modell ab; ","")&amp;IF(AND(AI202="Ja",OR(AJ202="",AK202="")),"Kontogrenzen fehlen; ","")&amp;IF(AND(AL202="Mit Gehalt abgegolten (Pauschale)",AM202=""),"Überstunden-Pauschale fehlt; ",""))="","OK",IF(OR(B202="",C202="",F202="",N202="",Q202="",AB202="",AC202="",AD202="",AU202=""),"Pflichtfelder fehlen; ","")&amp;IF(AND(ISNUMBER(AC202),AC202&gt;P_MaxWoche),"Wochenstunden &gt; Prüfgrenze; ","")&amp;IF(AND(BF202="Ja",ISNUMBER(AC202),AC202&gt;P_MaxWocheJugend),"Jugendlicher &gt; 40 h/Woche; ","")&amp;IF(AND(ISNUMBER(BD202),BD202&lt;P_Mindestlohn,Q202&lt;&gt;"Auszubildende/r",Q202&lt;&gt;"Praktikant/in"),"Mindestlohn unterschritten?; ","")&amp;IF(AND(Q202="Minijob (geringfügig)",ISNUMBER(BB202),BB202&gt;P_Minijob),"Minijob-Grenze überschritten; ","")&amp;IF(AND(R202="Ja",S202=""),"Befristung ohne Enddatum; ","")&amp;IF(AND(ISNUMBER(O202),ISNUMBER(N202),O202&lt;N202),"Austritt vor Eintritt; ","")&amp;IF(AND(ISNUMBER(AU202),ISNUMBER(AV202),AU202&lt;AV202),"Urlaub unter gesetzl. Minimum; ","")&amp;IF(AND(ISNUMBER(AC202),ISNUMBER(AF202),ABS(N(AC202)-N(AF202))&gt;0.01),"Wochenstd. weichen vom Modell ab; ","")&amp;IF(AND(AI202="Ja",OR(AJ202="",AK202="")),"Kontogrenzen fehlen; ","")&amp;IF(AND(AL202="Mit Gehalt abgegolten (Pauschale)",AM202=""),"Überstunden-Pauschale fehlt; ","")))</f>
        <v/>
      </c>
      <c r="BH202" s="38"/>
    </row>
    <row r="203" customFormat="false" ht="15" hidden="false" customHeight="false" outlineLevel="0" collapsed="false">
      <c r="A203" s="37"/>
      <c r="B203" s="38"/>
      <c r="C203" s="38"/>
      <c r="D203" s="38"/>
      <c r="E203" s="38"/>
      <c r="F203" s="39"/>
      <c r="G203" s="38"/>
      <c r="H203" s="38"/>
      <c r="I203" s="37"/>
      <c r="J203" s="38"/>
      <c r="K203" s="38"/>
      <c r="L203" s="38"/>
      <c r="M203" s="38"/>
      <c r="N203" s="39"/>
      <c r="O203" s="39"/>
      <c r="P203" s="38"/>
      <c r="Q203" s="38"/>
      <c r="R203" s="38"/>
      <c r="S203" s="39"/>
      <c r="T203" s="39"/>
      <c r="U203" s="38"/>
      <c r="V203" s="38"/>
      <c r="W203" s="37"/>
      <c r="X203" s="38"/>
      <c r="Y203" s="38"/>
      <c r="Z203" s="37"/>
      <c r="AA203" s="38"/>
      <c r="AB203" s="38"/>
      <c r="AC203" s="40"/>
      <c r="AD203" s="41"/>
      <c r="AE203" s="42" t="str">
        <f aca="false">IF(OR(A203="",NOT(ISNUMBER(AC203)),NOT(ISNUMBER(AD203))),"",IF(AD203&gt;0,AC203/AD203,""))</f>
        <v/>
      </c>
      <c r="AF203" s="42" t="str">
        <f aca="false">IF(OR(A203="",AB203=""),"",IFERROR(INDEX(Arbeitszeitmodelle!$C$5:$C$34,MATCH(AB203,Arbeitszeitmodelle!$A$5:$A$34,0)),""))</f>
        <v/>
      </c>
      <c r="AG203" s="38"/>
      <c r="AH203" s="38"/>
      <c r="AI203" s="38"/>
      <c r="AJ203" s="41"/>
      <c r="AK203" s="41"/>
      <c r="AL203" s="38"/>
      <c r="AM203" s="41"/>
      <c r="AN203" s="38"/>
      <c r="AO203" s="38"/>
      <c r="AP203" s="38"/>
      <c r="AQ203" s="38"/>
      <c r="AR203" s="41"/>
      <c r="AS203" s="40"/>
      <c r="AT203" s="39"/>
      <c r="AU203" s="41"/>
      <c r="AV203" s="43" t="str">
        <f aca="false">IF(OR(A203="",NOT(ISNUMBER(AD203))),"",P_MinUrlaubWerktage/6*AD203)</f>
        <v/>
      </c>
      <c r="AW203" s="43" t="str">
        <f aca="false">IF(A203="","",IF(M203="Ja",P_ZusatzSB*IF(ISNUMBER(AD203),AD203,5)/5,0))</f>
        <v/>
      </c>
      <c r="AX203" s="41"/>
      <c r="AY203" s="39"/>
      <c r="AZ203" s="43" t="str">
        <f aca="false">IF(OR(A203="",NOT(ISNUMBER(AU203))),"",SUM(AU203,AW203,AX203))</f>
        <v/>
      </c>
      <c r="BA203" s="38"/>
      <c r="BB203" s="44"/>
      <c r="BC203" s="44"/>
      <c r="BD203" s="45" t="str">
        <f aca="false">IF(A203="","",IF(BA203="Stundenlohn",IF(ISNUMBER(BC203),BC203,""),IF(AND(ISNUMBER(BB203),ISNUMBER(AC203)),IF(AC203&gt;0,BB203*12/(AC203*52),""),"")))</f>
        <v/>
      </c>
      <c r="BE203" s="46" t="str">
        <f aca="false">IF(OR(A203="",NOT(ISNUMBER(F203))),"",IFERROR(DATEDIF(F203,P_Stichtag,"Y"),""))</f>
        <v/>
      </c>
      <c r="BF203" s="47" t="str">
        <f aca="false">IF(OR(A203="",NOT(ISNUMBER(BE203))),"",IF(BE203&lt;18,"Ja","Nein"))</f>
        <v/>
      </c>
      <c r="BG203" s="48" t="str">
        <f aca="false">IF(A203="","",IF((IF(OR(B203="",C203="",F203="",N203="",Q203="",AB203="",AC203="",AD203="",AU203=""),"Pflichtfelder fehlen; ","")&amp;IF(AND(ISNUMBER(AC203),AC203&gt;P_MaxWoche),"Wochenstunden &gt; Prüfgrenze; ","")&amp;IF(AND(BF203="Ja",ISNUMBER(AC203),AC203&gt;P_MaxWocheJugend),"Jugendlicher &gt; 40 h/Woche; ","")&amp;IF(AND(ISNUMBER(BD203),BD203&lt;P_Mindestlohn,Q203&lt;&gt;"Auszubildende/r",Q203&lt;&gt;"Praktikant/in"),"Mindestlohn unterschritten?; ","")&amp;IF(AND(Q203="Minijob (geringfügig)",ISNUMBER(BB203),BB203&gt;P_Minijob),"Minijob-Grenze überschritten; ","")&amp;IF(AND(R203="Ja",S203=""),"Befristung ohne Enddatum; ","")&amp;IF(AND(ISNUMBER(O203),ISNUMBER(N203),O203&lt;N203),"Austritt vor Eintritt; ","")&amp;IF(AND(ISNUMBER(AU203),ISNUMBER(AV203),AU203&lt;AV203),"Urlaub unter gesetzl. Minimum; ","")&amp;IF(AND(ISNUMBER(AC203),ISNUMBER(AF203),ABS(N(AC203)-N(AF203))&gt;0.01),"Wochenstd. weichen vom Modell ab; ","")&amp;IF(AND(AI203="Ja",OR(AJ203="",AK203="")),"Kontogrenzen fehlen; ","")&amp;IF(AND(AL203="Mit Gehalt abgegolten (Pauschale)",AM203=""),"Überstunden-Pauschale fehlt; ",""))="","OK",IF(OR(B203="",C203="",F203="",N203="",Q203="",AB203="",AC203="",AD203="",AU203=""),"Pflichtfelder fehlen; ","")&amp;IF(AND(ISNUMBER(AC203),AC203&gt;P_MaxWoche),"Wochenstunden &gt; Prüfgrenze; ","")&amp;IF(AND(BF203="Ja",ISNUMBER(AC203),AC203&gt;P_MaxWocheJugend),"Jugendlicher &gt; 40 h/Woche; ","")&amp;IF(AND(ISNUMBER(BD203),BD203&lt;P_Mindestlohn,Q203&lt;&gt;"Auszubildende/r",Q203&lt;&gt;"Praktikant/in"),"Mindestlohn unterschritten?; ","")&amp;IF(AND(Q203="Minijob (geringfügig)",ISNUMBER(BB203),BB203&gt;P_Minijob),"Minijob-Grenze überschritten; ","")&amp;IF(AND(R203="Ja",S203=""),"Befristung ohne Enddatum; ","")&amp;IF(AND(ISNUMBER(O203),ISNUMBER(N203),O203&lt;N203),"Austritt vor Eintritt; ","")&amp;IF(AND(ISNUMBER(AU203),ISNUMBER(AV203),AU203&lt;AV203),"Urlaub unter gesetzl. Minimum; ","")&amp;IF(AND(ISNUMBER(AC203),ISNUMBER(AF203),ABS(N(AC203)-N(AF203))&gt;0.01),"Wochenstd. weichen vom Modell ab; ","")&amp;IF(AND(AI203="Ja",OR(AJ203="",AK203="")),"Kontogrenzen fehlen; ","")&amp;IF(AND(AL203="Mit Gehalt abgegolten (Pauschale)",AM203=""),"Überstunden-Pauschale fehlt; ","")))</f>
        <v/>
      </c>
      <c r="BH203" s="38"/>
    </row>
    <row r="204" customFormat="false" ht="15" hidden="false" customHeight="false" outlineLevel="0" collapsed="false">
      <c r="A204" s="37"/>
      <c r="B204" s="38"/>
      <c r="C204" s="38"/>
      <c r="D204" s="38"/>
      <c r="E204" s="38"/>
      <c r="F204" s="39"/>
      <c r="G204" s="38"/>
      <c r="H204" s="38"/>
      <c r="I204" s="37"/>
      <c r="J204" s="38"/>
      <c r="K204" s="38"/>
      <c r="L204" s="38"/>
      <c r="M204" s="38"/>
      <c r="N204" s="39"/>
      <c r="O204" s="39"/>
      <c r="P204" s="38"/>
      <c r="Q204" s="38"/>
      <c r="R204" s="38"/>
      <c r="S204" s="39"/>
      <c r="T204" s="39"/>
      <c r="U204" s="38"/>
      <c r="V204" s="38"/>
      <c r="W204" s="37"/>
      <c r="X204" s="38"/>
      <c r="Y204" s="38"/>
      <c r="Z204" s="37"/>
      <c r="AA204" s="38"/>
      <c r="AB204" s="38"/>
      <c r="AC204" s="40"/>
      <c r="AD204" s="41"/>
      <c r="AE204" s="42" t="str">
        <f aca="false">IF(OR(A204="",NOT(ISNUMBER(AC204)),NOT(ISNUMBER(AD204))),"",IF(AD204&gt;0,AC204/AD204,""))</f>
        <v/>
      </c>
      <c r="AF204" s="42" t="str">
        <f aca="false">IF(OR(A204="",AB204=""),"",IFERROR(INDEX(Arbeitszeitmodelle!$C$5:$C$34,MATCH(AB204,Arbeitszeitmodelle!$A$5:$A$34,0)),""))</f>
        <v/>
      </c>
      <c r="AG204" s="38"/>
      <c r="AH204" s="38"/>
      <c r="AI204" s="38"/>
      <c r="AJ204" s="41"/>
      <c r="AK204" s="41"/>
      <c r="AL204" s="38"/>
      <c r="AM204" s="41"/>
      <c r="AN204" s="38"/>
      <c r="AO204" s="38"/>
      <c r="AP204" s="38"/>
      <c r="AQ204" s="38"/>
      <c r="AR204" s="41"/>
      <c r="AS204" s="40"/>
      <c r="AT204" s="39"/>
      <c r="AU204" s="41"/>
      <c r="AV204" s="43" t="str">
        <f aca="false">IF(OR(A204="",NOT(ISNUMBER(AD204))),"",P_MinUrlaubWerktage/6*AD204)</f>
        <v/>
      </c>
      <c r="AW204" s="43" t="str">
        <f aca="false">IF(A204="","",IF(M204="Ja",P_ZusatzSB*IF(ISNUMBER(AD204),AD204,5)/5,0))</f>
        <v/>
      </c>
      <c r="AX204" s="41"/>
      <c r="AY204" s="39"/>
      <c r="AZ204" s="43" t="str">
        <f aca="false">IF(OR(A204="",NOT(ISNUMBER(AU204))),"",SUM(AU204,AW204,AX204))</f>
        <v/>
      </c>
      <c r="BA204" s="38"/>
      <c r="BB204" s="44"/>
      <c r="BC204" s="44"/>
      <c r="BD204" s="45" t="str">
        <f aca="false">IF(A204="","",IF(BA204="Stundenlohn",IF(ISNUMBER(BC204),BC204,""),IF(AND(ISNUMBER(BB204),ISNUMBER(AC204)),IF(AC204&gt;0,BB204*12/(AC204*52),""),"")))</f>
        <v/>
      </c>
      <c r="BE204" s="46" t="str">
        <f aca="false">IF(OR(A204="",NOT(ISNUMBER(F204))),"",IFERROR(DATEDIF(F204,P_Stichtag,"Y"),""))</f>
        <v/>
      </c>
      <c r="BF204" s="47" t="str">
        <f aca="false">IF(OR(A204="",NOT(ISNUMBER(BE204))),"",IF(BE204&lt;18,"Ja","Nein"))</f>
        <v/>
      </c>
      <c r="BG204" s="48" t="str">
        <f aca="false">IF(A204="","",IF((IF(OR(B204="",C204="",F204="",N204="",Q204="",AB204="",AC204="",AD204="",AU204=""),"Pflichtfelder fehlen; ","")&amp;IF(AND(ISNUMBER(AC204),AC204&gt;P_MaxWoche),"Wochenstunden &gt; Prüfgrenze; ","")&amp;IF(AND(BF204="Ja",ISNUMBER(AC204),AC204&gt;P_MaxWocheJugend),"Jugendlicher &gt; 40 h/Woche; ","")&amp;IF(AND(ISNUMBER(BD204),BD204&lt;P_Mindestlohn,Q204&lt;&gt;"Auszubildende/r",Q204&lt;&gt;"Praktikant/in"),"Mindestlohn unterschritten?; ","")&amp;IF(AND(Q204="Minijob (geringfügig)",ISNUMBER(BB204),BB204&gt;P_Minijob),"Minijob-Grenze überschritten; ","")&amp;IF(AND(R204="Ja",S204=""),"Befristung ohne Enddatum; ","")&amp;IF(AND(ISNUMBER(O204),ISNUMBER(N204),O204&lt;N204),"Austritt vor Eintritt; ","")&amp;IF(AND(ISNUMBER(AU204),ISNUMBER(AV204),AU204&lt;AV204),"Urlaub unter gesetzl. Minimum; ","")&amp;IF(AND(ISNUMBER(AC204),ISNUMBER(AF204),ABS(N(AC204)-N(AF204))&gt;0.01),"Wochenstd. weichen vom Modell ab; ","")&amp;IF(AND(AI204="Ja",OR(AJ204="",AK204="")),"Kontogrenzen fehlen; ","")&amp;IF(AND(AL204="Mit Gehalt abgegolten (Pauschale)",AM204=""),"Überstunden-Pauschale fehlt; ",""))="","OK",IF(OR(B204="",C204="",F204="",N204="",Q204="",AB204="",AC204="",AD204="",AU204=""),"Pflichtfelder fehlen; ","")&amp;IF(AND(ISNUMBER(AC204),AC204&gt;P_MaxWoche),"Wochenstunden &gt; Prüfgrenze; ","")&amp;IF(AND(BF204="Ja",ISNUMBER(AC204),AC204&gt;P_MaxWocheJugend),"Jugendlicher &gt; 40 h/Woche; ","")&amp;IF(AND(ISNUMBER(BD204),BD204&lt;P_Mindestlohn,Q204&lt;&gt;"Auszubildende/r",Q204&lt;&gt;"Praktikant/in"),"Mindestlohn unterschritten?; ","")&amp;IF(AND(Q204="Minijob (geringfügig)",ISNUMBER(BB204),BB204&gt;P_Minijob),"Minijob-Grenze überschritten; ","")&amp;IF(AND(R204="Ja",S204=""),"Befristung ohne Enddatum; ","")&amp;IF(AND(ISNUMBER(O204),ISNUMBER(N204),O204&lt;N204),"Austritt vor Eintritt; ","")&amp;IF(AND(ISNUMBER(AU204),ISNUMBER(AV204),AU204&lt;AV204),"Urlaub unter gesetzl. Minimum; ","")&amp;IF(AND(ISNUMBER(AC204),ISNUMBER(AF204),ABS(N(AC204)-N(AF204))&gt;0.01),"Wochenstd. weichen vom Modell ab; ","")&amp;IF(AND(AI204="Ja",OR(AJ204="",AK204="")),"Kontogrenzen fehlen; ","")&amp;IF(AND(AL204="Mit Gehalt abgegolten (Pauschale)",AM204=""),"Überstunden-Pauschale fehlt; ","")))</f>
        <v/>
      </c>
      <c r="BH204" s="38"/>
    </row>
    <row r="205" customFormat="false" ht="15" hidden="false" customHeight="false" outlineLevel="0" collapsed="false">
      <c r="A205" s="37"/>
      <c r="B205" s="38"/>
      <c r="C205" s="38"/>
      <c r="D205" s="38"/>
      <c r="E205" s="38"/>
      <c r="F205" s="39"/>
      <c r="G205" s="38"/>
      <c r="H205" s="38"/>
      <c r="I205" s="37"/>
      <c r="J205" s="38"/>
      <c r="K205" s="38"/>
      <c r="L205" s="38"/>
      <c r="M205" s="38"/>
      <c r="N205" s="39"/>
      <c r="O205" s="39"/>
      <c r="P205" s="38"/>
      <c r="Q205" s="38"/>
      <c r="R205" s="38"/>
      <c r="S205" s="39"/>
      <c r="T205" s="39"/>
      <c r="U205" s="38"/>
      <c r="V205" s="38"/>
      <c r="W205" s="37"/>
      <c r="X205" s="38"/>
      <c r="Y205" s="38"/>
      <c r="Z205" s="37"/>
      <c r="AA205" s="38"/>
      <c r="AB205" s="38"/>
      <c r="AC205" s="40"/>
      <c r="AD205" s="41"/>
      <c r="AE205" s="42" t="str">
        <f aca="false">IF(OR(A205="",NOT(ISNUMBER(AC205)),NOT(ISNUMBER(AD205))),"",IF(AD205&gt;0,AC205/AD205,""))</f>
        <v/>
      </c>
      <c r="AF205" s="42" t="str">
        <f aca="false">IF(OR(A205="",AB205=""),"",IFERROR(INDEX(Arbeitszeitmodelle!$C$5:$C$34,MATCH(AB205,Arbeitszeitmodelle!$A$5:$A$34,0)),""))</f>
        <v/>
      </c>
      <c r="AG205" s="38"/>
      <c r="AH205" s="38"/>
      <c r="AI205" s="38"/>
      <c r="AJ205" s="41"/>
      <c r="AK205" s="41"/>
      <c r="AL205" s="38"/>
      <c r="AM205" s="41"/>
      <c r="AN205" s="38"/>
      <c r="AO205" s="38"/>
      <c r="AP205" s="38"/>
      <c r="AQ205" s="38"/>
      <c r="AR205" s="41"/>
      <c r="AS205" s="40"/>
      <c r="AT205" s="39"/>
      <c r="AU205" s="41"/>
      <c r="AV205" s="43" t="str">
        <f aca="false">IF(OR(A205="",NOT(ISNUMBER(AD205))),"",P_MinUrlaubWerktage/6*AD205)</f>
        <v/>
      </c>
      <c r="AW205" s="43" t="str">
        <f aca="false">IF(A205="","",IF(M205="Ja",P_ZusatzSB*IF(ISNUMBER(AD205),AD205,5)/5,0))</f>
        <v/>
      </c>
      <c r="AX205" s="41"/>
      <c r="AY205" s="39"/>
      <c r="AZ205" s="43" t="str">
        <f aca="false">IF(OR(A205="",NOT(ISNUMBER(AU205))),"",SUM(AU205,AW205,AX205))</f>
        <v/>
      </c>
      <c r="BA205" s="38"/>
      <c r="BB205" s="44"/>
      <c r="BC205" s="44"/>
      <c r="BD205" s="45" t="str">
        <f aca="false">IF(A205="","",IF(BA205="Stundenlohn",IF(ISNUMBER(BC205),BC205,""),IF(AND(ISNUMBER(BB205),ISNUMBER(AC205)),IF(AC205&gt;0,BB205*12/(AC205*52),""),"")))</f>
        <v/>
      </c>
      <c r="BE205" s="46" t="str">
        <f aca="false">IF(OR(A205="",NOT(ISNUMBER(F205))),"",IFERROR(DATEDIF(F205,P_Stichtag,"Y"),""))</f>
        <v/>
      </c>
      <c r="BF205" s="47" t="str">
        <f aca="false">IF(OR(A205="",NOT(ISNUMBER(BE205))),"",IF(BE205&lt;18,"Ja","Nein"))</f>
        <v/>
      </c>
      <c r="BG205" s="48" t="str">
        <f aca="false">IF(A205="","",IF((IF(OR(B205="",C205="",F205="",N205="",Q205="",AB205="",AC205="",AD205="",AU205=""),"Pflichtfelder fehlen; ","")&amp;IF(AND(ISNUMBER(AC205),AC205&gt;P_MaxWoche),"Wochenstunden &gt; Prüfgrenze; ","")&amp;IF(AND(BF205="Ja",ISNUMBER(AC205),AC205&gt;P_MaxWocheJugend),"Jugendlicher &gt; 40 h/Woche; ","")&amp;IF(AND(ISNUMBER(BD205),BD205&lt;P_Mindestlohn,Q205&lt;&gt;"Auszubildende/r",Q205&lt;&gt;"Praktikant/in"),"Mindestlohn unterschritten?; ","")&amp;IF(AND(Q205="Minijob (geringfügig)",ISNUMBER(BB205),BB205&gt;P_Minijob),"Minijob-Grenze überschritten; ","")&amp;IF(AND(R205="Ja",S205=""),"Befristung ohne Enddatum; ","")&amp;IF(AND(ISNUMBER(O205),ISNUMBER(N205),O205&lt;N205),"Austritt vor Eintritt; ","")&amp;IF(AND(ISNUMBER(AU205),ISNUMBER(AV205),AU205&lt;AV205),"Urlaub unter gesetzl. Minimum; ","")&amp;IF(AND(ISNUMBER(AC205),ISNUMBER(AF205),ABS(N(AC205)-N(AF205))&gt;0.01),"Wochenstd. weichen vom Modell ab; ","")&amp;IF(AND(AI205="Ja",OR(AJ205="",AK205="")),"Kontogrenzen fehlen; ","")&amp;IF(AND(AL205="Mit Gehalt abgegolten (Pauschale)",AM205=""),"Überstunden-Pauschale fehlt; ",""))="","OK",IF(OR(B205="",C205="",F205="",N205="",Q205="",AB205="",AC205="",AD205="",AU205=""),"Pflichtfelder fehlen; ","")&amp;IF(AND(ISNUMBER(AC205),AC205&gt;P_MaxWoche),"Wochenstunden &gt; Prüfgrenze; ","")&amp;IF(AND(BF205="Ja",ISNUMBER(AC205),AC205&gt;P_MaxWocheJugend),"Jugendlicher &gt; 40 h/Woche; ","")&amp;IF(AND(ISNUMBER(BD205),BD205&lt;P_Mindestlohn,Q205&lt;&gt;"Auszubildende/r",Q205&lt;&gt;"Praktikant/in"),"Mindestlohn unterschritten?; ","")&amp;IF(AND(Q205="Minijob (geringfügig)",ISNUMBER(BB205),BB205&gt;P_Minijob),"Minijob-Grenze überschritten; ","")&amp;IF(AND(R205="Ja",S205=""),"Befristung ohne Enddatum; ","")&amp;IF(AND(ISNUMBER(O205),ISNUMBER(N205),O205&lt;N205),"Austritt vor Eintritt; ","")&amp;IF(AND(ISNUMBER(AU205),ISNUMBER(AV205),AU205&lt;AV205),"Urlaub unter gesetzl. Minimum; ","")&amp;IF(AND(ISNUMBER(AC205),ISNUMBER(AF205),ABS(N(AC205)-N(AF205))&gt;0.01),"Wochenstd. weichen vom Modell ab; ","")&amp;IF(AND(AI205="Ja",OR(AJ205="",AK205="")),"Kontogrenzen fehlen; ","")&amp;IF(AND(AL205="Mit Gehalt abgegolten (Pauschale)",AM205=""),"Überstunden-Pauschale fehlt; ","")))</f>
        <v/>
      </c>
      <c r="BH205" s="38"/>
    </row>
    <row r="206" customFormat="false" ht="15" hidden="false" customHeight="false" outlineLevel="0" collapsed="false">
      <c r="A206" s="37"/>
      <c r="B206" s="38"/>
      <c r="C206" s="38"/>
      <c r="D206" s="38"/>
      <c r="E206" s="38"/>
      <c r="F206" s="39"/>
      <c r="G206" s="38"/>
      <c r="H206" s="38"/>
      <c r="I206" s="37"/>
      <c r="J206" s="38"/>
      <c r="K206" s="38"/>
      <c r="L206" s="38"/>
      <c r="M206" s="38"/>
      <c r="N206" s="39"/>
      <c r="O206" s="39"/>
      <c r="P206" s="38"/>
      <c r="Q206" s="38"/>
      <c r="R206" s="38"/>
      <c r="S206" s="39"/>
      <c r="T206" s="39"/>
      <c r="U206" s="38"/>
      <c r="V206" s="38"/>
      <c r="W206" s="37"/>
      <c r="X206" s="38"/>
      <c r="Y206" s="38"/>
      <c r="Z206" s="37"/>
      <c r="AA206" s="38"/>
      <c r="AB206" s="38"/>
      <c r="AC206" s="40"/>
      <c r="AD206" s="41"/>
      <c r="AE206" s="42" t="str">
        <f aca="false">IF(OR(A206="",NOT(ISNUMBER(AC206)),NOT(ISNUMBER(AD206))),"",IF(AD206&gt;0,AC206/AD206,""))</f>
        <v/>
      </c>
      <c r="AF206" s="42" t="str">
        <f aca="false">IF(OR(A206="",AB206=""),"",IFERROR(INDEX(Arbeitszeitmodelle!$C$5:$C$34,MATCH(AB206,Arbeitszeitmodelle!$A$5:$A$34,0)),""))</f>
        <v/>
      </c>
      <c r="AG206" s="38"/>
      <c r="AH206" s="38"/>
      <c r="AI206" s="38"/>
      <c r="AJ206" s="41"/>
      <c r="AK206" s="41"/>
      <c r="AL206" s="38"/>
      <c r="AM206" s="41"/>
      <c r="AN206" s="38"/>
      <c r="AO206" s="38"/>
      <c r="AP206" s="38"/>
      <c r="AQ206" s="38"/>
      <c r="AR206" s="41"/>
      <c r="AS206" s="40"/>
      <c r="AT206" s="39"/>
      <c r="AU206" s="41"/>
      <c r="AV206" s="43" t="str">
        <f aca="false">IF(OR(A206="",NOT(ISNUMBER(AD206))),"",P_MinUrlaubWerktage/6*AD206)</f>
        <v/>
      </c>
      <c r="AW206" s="43" t="str">
        <f aca="false">IF(A206="","",IF(M206="Ja",P_ZusatzSB*IF(ISNUMBER(AD206),AD206,5)/5,0))</f>
        <v/>
      </c>
      <c r="AX206" s="41"/>
      <c r="AY206" s="39"/>
      <c r="AZ206" s="43" t="str">
        <f aca="false">IF(OR(A206="",NOT(ISNUMBER(AU206))),"",SUM(AU206,AW206,AX206))</f>
        <v/>
      </c>
      <c r="BA206" s="38"/>
      <c r="BB206" s="44"/>
      <c r="BC206" s="44"/>
      <c r="BD206" s="45" t="str">
        <f aca="false">IF(A206="","",IF(BA206="Stundenlohn",IF(ISNUMBER(BC206),BC206,""),IF(AND(ISNUMBER(BB206),ISNUMBER(AC206)),IF(AC206&gt;0,BB206*12/(AC206*52),""),"")))</f>
        <v/>
      </c>
      <c r="BE206" s="46" t="str">
        <f aca="false">IF(OR(A206="",NOT(ISNUMBER(F206))),"",IFERROR(DATEDIF(F206,P_Stichtag,"Y"),""))</f>
        <v/>
      </c>
      <c r="BF206" s="47" t="str">
        <f aca="false">IF(OR(A206="",NOT(ISNUMBER(BE206))),"",IF(BE206&lt;18,"Ja","Nein"))</f>
        <v/>
      </c>
      <c r="BG206" s="48" t="str">
        <f aca="false">IF(A206="","",IF((IF(OR(B206="",C206="",F206="",N206="",Q206="",AB206="",AC206="",AD206="",AU206=""),"Pflichtfelder fehlen; ","")&amp;IF(AND(ISNUMBER(AC206),AC206&gt;P_MaxWoche),"Wochenstunden &gt; Prüfgrenze; ","")&amp;IF(AND(BF206="Ja",ISNUMBER(AC206),AC206&gt;P_MaxWocheJugend),"Jugendlicher &gt; 40 h/Woche; ","")&amp;IF(AND(ISNUMBER(BD206),BD206&lt;P_Mindestlohn,Q206&lt;&gt;"Auszubildende/r",Q206&lt;&gt;"Praktikant/in"),"Mindestlohn unterschritten?; ","")&amp;IF(AND(Q206="Minijob (geringfügig)",ISNUMBER(BB206),BB206&gt;P_Minijob),"Minijob-Grenze überschritten; ","")&amp;IF(AND(R206="Ja",S206=""),"Befristung ohne Enddatum; ","")&amp;IF(AND(ISNUMBER(O206),ISNUMBER(N206),O206&lt;N206),"Austritt vor Eintritt; ","")&amp;IF(AND(ISNUMBER(AU206),ISNUMBER(AV206),AU206&lt;AV206),"Urlaub unter gesetzl. Minimum; ","")&amp;IF(AND(ISNUMBER(AC206),ISNUMBER(AF206),ABS(N(AC206)-N(AF206))&gt;0.01),"Wochenstd. weichen vom Modell ab; ","")&amp;IF(AND(AI206="Ja",OR(AJ206="",AK206="")),"Kontogrenzen fehlen; ","")&amp;IF(AND(AL206="Mit Gehalt abgegolten (Pauschale)",AM206=""),"Überstunden-Pauschale fehlt; ",""))="","OK",IF(OR(B206="",C206="",F206="",N206="",Q206="",AB206="",AC206="",AD206="",AU206=""),"Pflichtfelder fehlen; ","")&amp;IF(AND(ISNUMBER(AC206),AC206&gt;P_MaxWoche),"Wochenstunden &gt; Prüfgrenze; ","")&amp;IF(AND(BF206="Ja",ISNUMBER(AC206),AC206&gt;P_MaxWocheJugend),"Jugendlicher &gt; 40 h/Woche; ","")&amp;IF(AND(ISNUMBER(BD206),BD206&lt;P_Mindestlohn,Q206&lt;&gt;"Auszubildende/r",Q206&lt;&gt;"Praktikant/in"),"Mindestlohn unterschritten?; ","")&amp;IF(AND(Q206="Minijob (geringfügig)",ISNUMBER(BB206),BB206&gt;P_Minijob),"Minijob-Grenze überschritten; ","")&amp;IF(AND(R206="Ja",S206=""),"Befristung ohne Enddatum; ","")&amp;IF(AND(ISNUMBER(O206),ISNUMBER(N206),O206&lt;N206),"Austritt vor Eintritt; ","")&amp;IF(AND(ISNUMBER(AU206),ISNUMBER(AV206),AU206&lt;AV206),"Urlaub unter gesetzl. Minimum; ","")&amp;IF(AND(ISNUMBER(AC206),ISNUMBER(AF206),ABS(N(AC206)-N(AF206))&gt;0.01),"Wochenstd. weichen vom Modell ab; ","")&amp;IF(AND(AI206="Ja",OR(AJ206="",AK206="")),"Kontogrenzen fehlen; ","")&amp;IF(AND(AL206="Mit Gehalt abgegolten (Pauschale)",AM206=""),"Überstunden-Pauschale fehlt; ","")))</f>
        <v/>
      </c>
      <c r="BH206" s="38"/>
    </row>
    <row r="207" customFormat="false" ht="15" hidden="false" customHeight="false" outlineLevel="0" collapsed="false">
      <c r="A207" s="37"/>
      <c r="B207" s="38"/>
      <c r="C207" s="38"/>
      <c r="D207" s="38"/>
      <c r="E207" s="38"/>
      <c r="F207" s="39"/>
      <c r="G207" s="38"/>
      <c r="H207" s="38"/>
      <c r="I207" s="37"/>
      <c r="J207" s="38"/>
      <c r="K207" s="38"/>
      <c r="L207" s="38"/>
      <c r="M207" s="38"/>
      <c r="N207" s="39"/>
      <c r="O207" s="39"/>
      <c r="P207" s="38"/>
      <c r="Q207" s="38"/>
      <c r="R207" s="38"/>
      <c r="S207" s="39"/>
      <c r="T207" s="39"/>
      <c r="U207" s="38"/>
      <c r="V207" s="38"/>
      <c r="W207" s="37"/>
      <c r="X207" s="38"/>
      <c r="Y207" s="38"/>
      <c r="Z207" s="37"/>
      <c r="AA207" s="38"/>
      <c r="AB207" s="38"/>
      <c r="AC207" s="40"/>
      <c r="AD207" s="41"/>
      <c r="AE207" s="42" t="str">
        <f aca="false">IF(OR(A207="",NOT(ISNUMBER(AC207)),NOT(ISNUMBER(AD207))),"",IF(AD207&gt;0,AC207/AD207,""))</f>
        <v/>
      </c>
      <c r="AF207" s="42" t="str">
        <f aca="false">IF(OR(A207="",AB207=""),"",IFERROR(INDEX(Arbeitszeitmodelle!$C$5:$C$34,MATCH(AB207,Arbeitszeitmodelle!$A$5:$A$34,0)),""))</f>
        <v/>
      </c>
      <c r="AG207" s="38"/>
      <c r="AH207" s="38"/>
      <c r="AI207" s="38"/>
      <c r="AJ207" s="41"/>
      <c r="AK207" s="41"/>
      <c r="AL207" s="38"/>
      <c r="AM207" s="41"/>
      <c r="AN207" s="38"/>
      <c r="AO207" s="38"/>
      <c r="AP207" s="38"/>
      <c r="AQ207" s="38"/>
      <c r="AR207" s="41"/>
      <c r="AS207" s="40"/>
      <c r="AT207" s="39"/>
      <c r="AU207" s="41"/>
      <c r="AV207" s="43" t="str">
        <f aca="false">IF(OR(A207="",NOT(ISNUMBER(AD207))),"",P_MinUrlaubWerktage/6*AD207)</f>
        <v/>
      </c>
      <c r="AW207" s="43" t="str">
        <f aca="false">IF(A207="","",IF(M207="Ja",P_ZusatzSB*IF(ISNUMBER(AD207),AD207,5)/5,0))</f>
        <v/>
      </c>
      <c r="AX207" s="41"/>
      <c r="AY207" s="39"/>
      <c r="AZ207" s="43" t="str">
        <f aca="false">IF(OR(A207="",NOT(ISNUMBER(AU207))),"",SUM(AU207,AW207,AX207))</f>
        <v/>
      </c>
      <c r="BA207" s="38"/>
      <c r="BB207" s="44"/>
      <c r="BC207" s="44"/>
      <c r="BD207" s="45" t="str">
        <f aca="false">IF(A207="","",IF(BA207="Stundenlohn",IF(ISNUMBER(BC207),BC207,""),IF(AND(ISNUMBER(BB207),ISNUMBER(AC207)),IF(AC207&gt;0,BB207*12/(AC207*52),""),"")))</f>
        <v/>
      </c>
      <c r="BE207" s="46" t="str">
        <f aca="false">IF(OR(A207="",NOT(ISNUMBER(F207))),"",IFERROR(DATEDIF(F207,P_Stichtag,"Y"),""))</f>
        <v/>
      </c>
      <c r="BF207" s="47" t="str">
        <f aca="false">IF(OR(A207="",NOT(ISNUMBER(BE207))),"",IF(BE207&lt;18,"Ja","Nein"))</f>
        <v/>
      </c>
      <c r="BG207" s="48" t="str">
        <f aca="false">IF(A207="","",IF((IF(OR(B207="",C207="",F207="",N207="",Q207="",AB207="",AC207="",AD207="",AU207=""),"Pflichtfelder fehlen; ","")&amp;IF(AND(ISNUMBER(AC207),AC207&gt;P_MaxWoche),"Wochenstunden &gt; Prüfgrenze; ","")&amp;IF(AND(BF207="Ja",ISNUMBER(AC207),AC207&gt;P_MaxWocheJugend),"Jugendlicher &gt; 40 h/Woche; ","")&amp;IF(AND(ISNUMBER(BD207),BD207&lt;P_Mindestlohn,Q207&lt;&gt;"Auszubildende/r",Q207&lt;&gt;"Praktikant/in"),"Mindestlohn unterschritten?; ","")&amp;IF(AND(Q207="Minijob (geringfügig)",ISNUMBER(BB207),BB207&gt;P_Minijob),"Minijob-Grenze überschritten; ","")&amp;IF(AND(R207="Ja",S207=""),"Befristung ohne Enddatum; ","")&amp;IF(AND(ISNUMBER(O207),ISNUMBER(N207),O207&lt;N207),"Austritt vor Eintritt; ","")&amp;IF(AND(ISNUMBER(AU207),ISNUMBER(AV207),AU207&lt;AV207),"Urlaub unter gesetzl. Minimum; ","")&amp;IF(AND(ISNUMBER(AC207),ISNUMBER(AF207),ABS(N(AC207)-N(AF207))&gt;0.01),"Wochenstd. weichen vom Modell ab; ","")&amp;IF(AND(AI207="Ja",OR(AJ207="",AK207="")),"Kontogrenzen fehlen; ","")&amp;IF(AND(AL207="Mit Gehalt abgegolten (Pauschale)",AM207=""),"Überstunden-Pauschale fehlt; ",""))="","OK",IF(OR(B207="",C207="",F207="",N207="",Q207="",AB207="",AC207="",AD207="",AU207=""),"Pflichtfelder fehlen; ","")&amp;IF(AND(ISNUMBER(AC207),AC207&gt;P_MaxWoche),"Wochenstunden &gt; Prüfgrenze; ","")&amp;IF(AND(BF207="Ja",ISNUMBER(AC207),AC207&gt;P_MaxWocheJugend),"Jugendlicher &gt; 40 h/Woche; ","")&amp;IF(AND(ISNUMBER(BD207),BD207&lt;P_Mindestlohn,Q207&lt;&gt;"Auszubildende/r",Q207&lt;&gt;"Praktikant/in"),"Mindestlohn unterschritten?; ","")&amp;IF(AND(Q207="Minijob (geringfügig)",ISNUMBER(BB207),BB207&gt;P_Minijob),"Minijob-Grenze überschritten; ","")&amp;IF(AND(R207="Ja",S207=""),"Befristung ohne Enddatum; ","")&amp;IF(AND(ISNUMBER(O207),ISNUMBER(N207),O207&lt;N207),"Austritt vor Eintritt; ","")&amp;IF(AND(ISNUMBER(AU207),ISNUMBER(AV207),AU207&lt;AV207),"Urlaub unter gesetzl. Minimum; ","")&amp;IF(AND(ISNUMBER(AC207),ISNUMBER(AF207),ABS(N(AC207)-N(AF207))&gt;0.01),"Wochenstd. weichen vom Modell ab; ","")&amp;IF(AND(AI207="Ja",OR(AJ207="",AK207="")),"Kontogrenzen fehlen; ","")&amp;IF(AND(AL207="Mit Gehalt abgegolten (Pauschale)",AM207=""),"Überstunden-Pauschale fehlt; ","")))</f>
        <v/>
      </c>
      <c r="BH207" s="38"/>
    </row>
    <row r="208" customFormat="false" ht="15" hidden="false" customHeight="false" outlineLevel="0" collapsed="false">
      <c r="A208" s="37"/>
      <c r="B208" s="38"/>
      <c r="C208" s="38"/>
      <c r="D208" s="38"/>
      <c r="E208" s="38"/>
      <c r="F208" s="39"/>
      <c r="G208" s="38"/>
      <c r="H208" s="38"/>
      <c r="I208" s="37"/>
      <c r="J208" s="38"/>
      <c r="K208" s="38"/>
      <c r="L208" s="38"/>
      <c r="M208" s="38"/>
      <c r="N208" s="39"/>
      <c r="O208" s="39"/>
      <c r="P208" s="38"/>
      <c r="Q208" s="38"/>
      <c r="R208" s="38"/>
      <c r="S208" s="39"/>
      <c r="T208" s="39"/>
      <c r="U208" s="38"/>
      <c r="V208" s="38"/>
      <c r="W208" s="37"/>
      <c r="X208" s="38"/>
      <c r="Y208" s="38"/>
      <c r="Z208" s="37"/>
      <c r="AA208" s="38"/>
      <c r="AB208" s="38"/>
      <c r="AC208" s="40"/>
      <c r="AD208" s="41"/>
      <c r="AE208" s="42" t="str">
        <f aca="false">IF(OR(A208="",NOT(ISNUMBER(AC208)),NOT(ISNUMBER(AD208))),"",IF(AD208&gt;0,AC208/AD208,""))</f>
        <v/>
      </c>
      <c r="AF208" s="42" t="str">
        <f aca="false">IF(OR(A208="",AB208=""),"",IFERROR(INDEX(Arbeitszeitmodelle!$C$5:$C$34,MATCH(AB208,Arbeitszeitmodelle!$A$5:$A$34,0)),""))</f>
        <v/>
      </c>
      <c r="AG208" s="38"/>
      <c r="AH208" s="38"/>
      <c r="AI208" s="38"/>
      <c r="AJ208" s="41"/>
      <c r="AK208" s="41"/>
      <c r="AL208" s="38"/>
      <c r="AM208" s="41"/>
      <c r="AN208" s="38"/>
      <c r="AO208" s="38"/>
      <c r="AP208" s="38"/>
      <c r="AQ208" s="38"/>
      <c r="AR208" s="41"/>
      <c r="AS208" s="40"/>
      <c r="AT208" s="39"/>
      <c r="AU208" s="41"/>
      <c r="AV208" s="43" t="str">
        <f aca="false">IF(OR(A208="",NOT(ISNUMBER(AD208))),"",P_MinUrlaubWerktage/6*AD208)</f>
        <v/>
      </c>
      <c r="AW208" s="43" t="str">
        <f aca="false">IF(A208="","",IF(M208="Ja",P_ZusatzSB*IF(ISNUMBER(AD208),AD208,5)/5,0))</f>
        <v/>
      </c>
      <c r="AX208" s="41"/>
      <c r="AY208" s="39"/>
      <c r="AZ208" s="43" t="str">
        <f aca="false">IF(OR(A208="",NOT(ISNUMBER(AU208))),"",SUM(AU208,AW208,AX208))</f>
        <v/>
      </c>
      <c r="BA208" s="38"/>
      <c r="BB208" s="44"/>
      <c r="BC208" s="44"/>
      <c r="BD208" s="45" t="str">
        <f aca="false">IF(A208="","",IF(BA208="Stundenlohn",IF(ISNUMBER(BC208),BC208,""),IF(AND(ISNUMBER(BB208),ISNUMBER(AC208)),IF(AC208&gt;0,BB208*12/(AC208*52),""),"")))</f>
        <v/>
      </c>
      <c r="BE208" s="46" t="str">
        <f aca="false">IF(OR(A208="",NOT(ISNUMBER(F208))),"",IFERROR(DATEDIF(F208,P_Stichtag,"Y"),""))</f>
        <v/>
      </c>
      <c r="BF208" s="47" t="str">
        <f aca="false">IF(OR(A208="",NOT(ISNUMBER(BE208))),"",IF(BE208&lt;18,"Ja","Nein"))</f>
        <v/>
      </c>
      <c r="BG208" s="48" t="str">
        <f aca="false">IF(A208="","",IF((IF(OR(B208="",C208="",F208="",N208="",Q208="",AB208="",AC208="",AD208="",AU208=""),"Pflichtfelder fehlen; ","")&amp;IF(AND(ISNUMBER(AC208),AC208&gt;P_MaxWoche),"Wochenstunden &gt; Prüfgrenze; ","")&amp;IF(AND(BF208="Ja",ISNUMBER(AC208),AC208&gt;P_MaxWocheJugend),"Jugendlicher &gt; 40 h/Woche; ","")&amp;IF(AND(ISNUMBER(BD208),BD208&lt;P_Mindestlohn,Q208&lt;&gt;"Auszubildende/r",Q208&lt;&gt;"Praktikant/in"),"Mindestlohn unterschritten?; ","")&amp;IF(AND(Q208="Minijob (geringfügig)",ISNUMBER(BB208),BB208&gt;P_Minijob),"Minijob-Grenze überschritten; ","")&amp;IF(AND(R208="Ja",S208=""),"Befristung ohne Enddatum; ","")&amp;IF(AND(ISNUMBER(O208),ISNUMBER(N208),O208&lt;N208),"Austritt vor Eintritt; ","")&amp;IF(AND(ISNUMBER(AU208),ISNUMBER(AV208),AU208&lt;AV208),"Urlaub unter gesetzl. Minimum; ","")&amp;IF(AND(ISNUMBER(AC208),ISNUMBER(AF208),ABS(N(AC208)-N(AF208))&gt;0.01),"Wochenstd. weichen vom Modell ab; ","")&amp;IF(AND(AI208="Ja",OR(AJ208="",AK208="")),"Kontogrenzen fehlen; ","")&amp;IF(AND(AL208="Mit Gehalt abgegolten (Pauschale)",AM208=""),"Überstunden-Pauschale fehlt; ",""))="","OK",IF(OR(B208="",C208="",F208="",N208="",Q208="",AB208="",AC208="",AD208="",AU208=""),"Pflichtfelder fehlen; ","")&amp;IF(AND(ISNUMBER(AC208),AC208&gt;P_MaxWoche),"Wochenstunden &gt; Prüfgrenze; ","")&amp;IF(AND(BF208="Ja",ISNUMBER(AC208),AC208&gt;P_MaxWocheJugend),"Jugendlicher &gt; 40 h/Woche; ","")&amp;IF(AND(ISNUMBER(BD208),BD208&lt;P_Mindestlohn,Q208&lt;&gt;"Auszubildende/r",Q208&lt;&gt;"Praktikant/in"),"Mindestlohn unterschritten?; ","")&amp;IF(AND(Q208="Minijob (geringfügig)",ISNUMBER(BB208),BB208&gt;P_Minijob),"Minijob-Grenze überschritten; ","")&amp;IF(AND(R208="Ja",S208=""),"Befristung ohne Enddatum; ","")&amp;IF(AND(ISNUMBER(O208),ISNUMBER(N208),O208&lt;N208),"Austritt vor Eintritt; ","")&amp;IF(AND(ISNUMBER(AU208),ISNUMBER(AV208),AU208&lt;AV208),"Urlaub unter gesetzl. Minimum; ","")&amp;IF(AND(ISNUMBER(AC208),ISNUMBER(AF208),ABS(N(AC208)-N(AF208))&gt;0.01),"Wochenstd. weichen vom Modell ab; ","")&amp;IF(AND(AI208="Ja",OR(AJ208="",AK208="")),"Kontogrenzen fehlen; ","")&amp;IF(AND(AL208="Mit Gehalt abgegolten (Pauschale)",AM208=""),"Überstunden-Pauschale fehlt; ","")))</f>
        <v/>
      </c>
      <c r="BH208" s="38"/>
    </row>
    <row r="209" customFormat="false" ht="15" hidden="false" customHeight="false" outlineLevel="0" collapsed="false">
      <c r="A209" s="37"/>
      <c r="B209" s="38"/>
      <c r="C209" s="38"/>
      <c r="D209" s="38"/>
      <c r="E209" s="38"/>
      <c r="F209" s="39"/>
      <c r="G209" s="38"/>
      <c r="H209" s="38"/>
      <c r="I209" s="37"/>
      <c r="J209" s="38"/>
      <c r="K209" s="38"/>
      <c r="L209" s="38"/>
      <c r="M209" s="38"/>
      <c r="N209" s="39"/>
      <c r="O209" s="39"/>
      <c r="P209" s="38"/>
      <c r="Q209" s="38"/>
      <c r="R209" s="38"/>
      <c r="S209" s="39"/>
      <c r="T209" s="39"/>
      <c r="U209" s="38"/>
      <c r="V209" s="38"/>
      <c r="W209" s="37"/>
      <c r="X209" s="38"/>
      <c r="Y209" s="38"/>
      <c r="Z209" s="37"/>
      <c r="AA209" s="38"/>
      <c r="AB209" s="38"/>
      <c r="AC209" s="40"/>
      <c r="AD209" s="41"/>
      <c r="AE209" s="42" t="str">
        <f aca="false">IF(OR(A209="",NOT(ISNUMBER(AC209)),NOT(ISNUMBER(AD209))),"",IF(AD209&gt;0,AC209/AD209,""))</f>
        <v/>
      </c>
      <c r="AF209" s="42" t="str">
        <f aca="false">IF(OR(A209="",AB209=""),"",IFERROR(INDEX(Arbeitszeitmodelle!$C$5:$C$34,MATCH(AB209,Arbeitszeitmodelle!$A$5:$A$34,0)),""))</f>
        <v/>
      </c>
      <c r="AG209" s="38"/>
      <c r="AH209" s="38"/>
      <c r="AI209" s="38"/>
      <c r="AJ209" s="41"/>
      <c r="AK209" s="41"/>
      <c r="AL209" s="38"/>
      <c r="AM209" s="41"/>
      <c r="AN209" s="38"/>
      <c r="AO209" s="38"/>
      <c r="AP209" s="38"/>
      <c r="AQ209" s="38"/>
      <c r="AR209" s="41"/>
      <c r="AS209" s="40"/>
      <c r="AT209" s="39"/>
      <c r="AU209" s="41"/>
      <c r="AV209" s="43" t="str">
        <f aca="false">IF(OR(A209="",NOT(ISNUMBER(AD209))),"",P_MinUrlaubWerktage/6*AD209)</f>
        <v/>
      </c>
      <c r="AW209" s="43" t="str">
        <f aca="false">IF(A209="","",IF(M209="Ja",P_ZusatzSB*IF(ISNUMBER(AD209),AD209,5)/5,0))</f>
        <v/>
      </c>
      <c r="AX209" s="41"/>
      <c r="AY209" s="39"/>
      <c r="AZ209" s="43" t="str">
        <f aca="false">IF(OR(A209="",NOT(ISNUMBER(AU209))),"",SUM(AU209,AW209,AX209))</f>
        <v/>
      </c>
      <c r="BA209" s="38"/>
      <c r="BB209" s="44"/>
      <c r="BC209" s="44"/>
      <c r="BD209" s="45" t="str">
        <f aca="false">IF(A209="","",IF(BA209="Stundenlohn",IF(ISNUMBER(BC209),BC209,""),IF(AND(ISNUMBER(BB209),ISNUMBER(AC209)),IF(AC209&gt;0,BB209*12/(AC209*52),""),"")))</f>
        <v/>
      </c>
      <c r="BE209" s="46" t="str">
        <f aca="false">IF(OR(A209="",NOT(ISNUMBER(F209))),"",IFERROR(DATEDIF(F209,P_Stichtag,"Y"),""))</f>
        <v/>
      </c>
      <c r="BF209" s="47" t="str">
        <f aca="false">IF(OR(A209="",NOT(ISNUMBER(BE209))),"",IF(BE209&lt;18,"Ja","Nein"))</f>
        <v/>
      </c>
      <c r="BG209" s="48" t="str">
        <f aca="false">IF(A209="","",IF((IF(OR(B209="",C209="",F209="",N209="",Q209="",AB209="",AC209="",AD209="",AU209=""),"Pflichtfelder fehlen; ","")&amp;IF(AND(ISNUMBER(AC209),AC209&gt;P_MaxWoche),"Wochenstunden &gt; Prüfgrenze; ","")&amp;IF(AND(BF209="Ja",ISNUMBER(AC209),AC209&gt;P_MaxWocheJugend),"Jugendlicher &gt; 40 h/Woche; ","")&amp;IF(AND(ISNUMBER(BD209),BD209&lt;P_Mindestlohn,Q209&lt;&gt;"Auszubildende/r",Q209&lt;&gt;"Praktikant/in"),"Mindestlohn unterschritten?; ","")&amp;IF(AND(Q209="Minijob (geringfügig)",ISNUMBER(BB209),BB209&gt;P_Minijob),"Minijob-Grenze überschritten; ","")&amp;IF(AND(R209="Ja",S209=""),"Befristung ohne Enddatum; ","")&amp;IF(AND(ISNUMBER(O209),ISNUMBER(N209),O209&lt;N209),"Austritt vor Eintritt; ","")&amp;IF(AND(ISNUMBER(AU209),ISNUMBER(AV209),AU209&lt;AV209),"Urlaub unter gesetzl. Minimum; ","")&amp;IF(AND(ISNUMBER(AC209),ISNUMBER(AF209),ABS(N(AC209)-N(AF209))&gt;0.01),"Wochenstd. weichen vom Modell ab; ","")&amp;IF(AND(AI209="Ja",OR(AJ209="",AK209="")),"Kontogrenzen fehlen; ","")&amp;IF(AND(AL209="Mit Gehalt abgegolten (Pauschale)",AM209=""),"Überstunden-Pauschale fehlt; ",""))="","OK",IF(OR(B209="",C209="",F209="",N209="",Q209="",AB209="",AC209="",AD209="",AU209=""),"Pflichtfelder fehlen; ","")&amp;IF(AND(ISNUMBER(AC209),AC209&gt;P_MaxWoche),"Wochenstunden &gt; Prüfgrenze; ","")&amp;IF(AND(BF209="Ja",ISNUMBER(AC209),AC209&gt;P_MaxWocheJugend),"Jugendlicher &gt; 40 h/Woche; ","")&amp;IF(AND(ISNUMBER(BD209),BD209&lt;P_Mindestlohn,Q209&lt;&gt;"Auszubildende/r",Q209&lt;&gt;"Praktikant/in"),"Mindestlohn unterschritten?; ","")&amp;IF(AND(Q209="Minijob (geringfügig)",ISNUMBER(BB209),BB209&gt;P_Minijob),"Minijob-Grenze überschritten; ","")&amp;IF(AND(R209="Ja",S209=""),"Befristung ohne Enddatum; ","")&amp;IF(AND(ISNUMBER(O209),ISNUMBER(N209),O209&lt;N209),"Austritt vor Eintritt; ","")&amp;IF(AND(ISNUMBER(AU209),ISNUMBER(AV209),AU209&lt;AV209),"Urlaub unter gesetzl. Minimum; ","")&amp;IF(AND(ISNUMBER(AC209),ISNUMBER(AF209),ABS(N(AC209)-N(AF209))&gt;0.01),"Wochenstd. weichen vom Modell ab; ","")&amp;IF(AND(AI209="Ja",OR(AJ209="",AK209="")),"Kontogrenzen fehlen; ","")&amp;IF(AND(AL209="Mit Gehalt abgegolten (Pauschale)",AM209=""),"Überstunden-Pauschale fehlt; ","")))</f>
        <v/>
      </c>
      <c r="BH209" s="38"/>
    </row>
    <row r="210" customFormat="false" ht="15" hidden="false" customHeight="false" outlineLevel="0" collapsed="false">
      <c r="A210" s="37"/>
      <c r="B210" s="38"/>
      <c r="C210" s="38"/>
      <c r="D210" s="38"/>
      <c r="E210" s="38"/>
      <c r="F210" s="39"/>
      <c r="G210" s="38"/>
      <c r="H210" s="38"/>
      <c r="I210" s="37"/>
      <c r="J210" s="38"/>
      <c r="K210" s="38"/>
      <c r="L210" s="38"/>
      <c r="M210" s="38"/>
      <c r="N210" s="39"/>
      <c r="O210" s="39"/>
      <c r="P210" s="38"/>
      <c r="Q210" s="38"/>
      <c r="R210" s="38"/>
      <c r="S210" s="39"/>
      <c r="T210" s="39"/>
      <c r="U210" s="38"/>
      <c r="V210" s="38"/>
      <c r="W210" s="37"/>
      <c r="X210" s="38"/>
      <c r="Y210" s="38"/>
      <c r="Z210" s="37"/>
      <c r="AA210" s="38"/>
      <c r="AB210" s="38"/>
      <c r="AC210" s="40"/>
      <c r="AD210" s="41"/>
      <c r="AE210" s="42" t="str">
        <f aca="false">IF(OR(A210="",NOT(ISNUMBER(AC210)),NOT(ISNUMBER(AD210))),"",IF(AD210&gt;0,AC210/AD210,""))</f>
        <v/>
      </c>
      <c r="AF210" s="42" t="str">
        <f aca="false">IF(OR(A210="",AB210=""),"",IFERROR(INDEX(Arbeitszeitmodelle!$C$5:$C$34,MATCH(AB210,Arbeitszeitmodelle!$A$5:$A$34,0)),""))</f>
        <v/>
      </c>
      <c r="AG210" s="38"/>
      <c r="AH210" s="38"/>
      <c r="AI210" s="38"/>
      <c r="AJ210" s="41"/>
      <c r="AK210" s="41"/>
      <c r="AL210" s="38"/>
      <c r="AM210" s="41"/>
      <c r="AN210" s="38"/>
      <c r="AO210" s="38"/>
      <c r="AP210" s="38"/>
      <c r="AQ210" s="38"/>
      <c r="AR210" s="41"/>
      <c r="AS210" s="40"/>
      <c r="AT210" s="39"/>
      <c r="AU210" s="41"/>
      <c r="AV210" s="43" t="str">
        <f aca="false">IF(OR(A210="",NOT(ISNUMBER(AD210))),"",P_MinUrlaubWerktage/6*AD210)</f>
        <v/>
      </c>
      <c r="AW210" s="43" t="str">
        <f aca="false">IF(A210="","",IF(M210="Ja",P_ZusatzSB*IF(ISNUMBER(AD210),AD210,5)/5,0))</f>
        <v/>
      </c>
      <c r="AX210" s="41"/>
      <c r="AY210" s="39"/>
      <c r="AZ210" s="43" t="str">
        <f aca="false">IF(OR(A210="",NOT(ISNUMBER(AU210))),"",SUM(AU210,AW210,AX210))</f>
        <v/>
      </c>
      <c r="BA210" s="38"/>
      <c r="BB210" s="44"/>
      <c r="BC210" s="44"/>
      <c r="BD210" s="45" t="str">
        <f aca="false">IF(A210="","",IF(BA210="Stundenlohn",IF(ISNUMBER(BC210),BC210,""),IF(AND(ISNUMBER(BB210),ISNUMBER(AC210)),IF(AC210&gt;0,BB210*12/(AC210*52),""),"")))</f>
        <v/>
      </c>
      <c r="BE210" s="46" t="str">
        <f aca="false">IF(OR(A210="",NOT(ISNUMBER(F210))),"",IFERROR(DATEDIF(F210,P_Stichtag,"Y"),""))</f>
        <v/>
      </c>
      <c r="BF210" s="47" t="str">
        <f aca="false">IF(OR(A210="",NOT(ISNUMBER(BE210))),"",IF(BE210&lt;18,"Ja","Nein"))</f>
        <v/>
      </c>
      <c r="BG210" s="48" t="str">
        <f aca="false">IF(A210="","",IF((IF(OR(B210="",C210="",F210="",N210="",Q210="",AB210="",AC210="",AD210="",AU210=""),"Pflichtfelder fehlen; ","")&amp;IF(AND(ISNUMBER(AC210),AC210&gt;P_MaxWoche),"Wochenstunden &gt; Prüfgrenze; ","")&amp;IF(AND(BF210="Ja",ISNUMBER(AC210),AC210&gt;P_MaxWocheJugend),"Jugendlicher &gt; 40 h/Woche; ","")&amp;IF(AND(ISNUMBER(BD210),BD210&lt;P_Mindestlohn,Q210&lt;&gt;"Auszubildende/r",Q210&lt;&gt;"Praktikant/in"),"Mindestlohn unterschritten?; ","")&amp;IF(AND(Q210="Minijob (geringfügig)",ISNUMBER(BB210),BB210&gt;P_Minijob),"Minijob-Grenze überschritten; ","")&amp;IF(AND(R210="Ja",S210=""),"Befristung ohne Enddatum; ","")&amp;IF(AND(ISNUMBER(O210),ISNUMBER(N210),O210&lt;N210),"Austritt vor Eintritt; ","")&amp;IF(AND(ISNUMBER(AU210),ISNUMBER(AV210),AU210&lt;AV210),"Urlaub unter gesetzl. Minimum; ","")&amp;IF(AND(ISNUMBER(AC210),ISNUMBER(AF210),ABS(N(AC210)-N(AF210))&gt;0.01),"Wochenstd. weichen vom Modell ab; ","")&amp;IF(AND(AI210="Ja",OR(AJ210="",AK210="")),"Kontogrenzen fehlen; ","")&amp;IF(AND(AL210="Mit Gehalt abgegolten (Pauschale)",AM210=""),"Überstunden-Pauschale fehlt; ",""))="","OK",IF(OR(B210="",C210="",F210="",N210="",Q210="",AB210="",AC210="",AD210="",AU210=""),"Pflichtfelder fehlen; ","")&amp;IF(AND(ISNUMBER(AC210),AC210&gt;P_MaxWoche),"Wochenstunden &gt; Prüfgrenze; ","")&amp;IF(AND(BF210="Ja",ISNUMBER(AC210),AC210&gt;P_MaxWocheJugend),"Jugendlicher &gt; 40 h/Woche; ","")&amp;IF(AND(ISNUMBER(BD210),BD210&lt;P_Mindestlohn,Q210&lt;&gt;"Auszubildende/r",Q210&lt;&gt;"Praktikant/in"),"Mindestlohn unterschritten?; ","")&amp;IF(AND(Q210="Minijob (geringfügig)",ISNUMBER(BB210),BB210&gt;P_Minijob),"Minijob-Grenze überschritten; ","")&amp;IF(AND(R210="Ja",S210=""),"Befristung ohne Enddatum; ","")&amp;IF(AND(ISNUMBER(O210),ISNUMBER(N210),O210&lt;N210),"Austritt vor Eintritt; ","")&amp;IF(AND(ISNUMBER(AU210),ISNUMBER(AV210),AU210&lt;AV210),"Urlaub unter gesetzl. Minimum; ","")&amp;IF(AND(ISNUMBER(AC210),ISNUMBER(AF210),ABS(N(AC210)-N(AF210))&gt;0.01),"Wochenstd. weichen vom Modell ab; ","")&amp;IF(AND(AI210="Ja",OR(AJ210="",AK210="")),"Kontogrenzen fehlen; ","")&amp;IF(AND(AL210="Mit Gehalt abgegolten (Pauschale)",AM210=""),"Überstunden-Pauschale fehlt; ","")))</f>
        <v/>
      </c>
      <c r="BH210" s="38"/>
    </row>
    <row r="211" customFormat="false" ht="15" hidden="false" customHeight="false" outlineLevel="0" collapsed="false">
      <c r="A211" s="37"/>
      <c r="B211" s="38"/>
      <c r="C211" s="38"/>
      <c r="D211" s="38"/>
      <c r="E211" s="38"/>
      <c r="F211" s="39"/>
      <c r="G211" s="38"/>
      <c r="H211" s="38"/>
      <c r="I211" s="37"/>
      <c r="J211" s="38"/>
      <c r="K211" s="38"/>
      <c r="L211" s="38"/>
      <c r="M211" s="38"/>
      <c r="N211" s="39"/>
      <c r="O211" s="39"/>
      <c r="P211" s="38"/>
      <c r="Q211" s="38"/>
      <c r="R211" s="38"/>
      <c r="S211" s="39"/>
      <c r="T211" s="39"/>
      <c r="U211" s="38"/>
      <c r="V211" s="38"/>
      <c r="W211" s="37"/>
      <c r="X211" s="38"/>
      <c r="Y211" s="38"/>
      <c r="Z211" s="37"/>
      <c r="AA211" s="38"/>
      <c r="AB211" s="38"/>
      <c r="AC211" s="40"/>
      <c r="AD211" s="41"/>
      <c r="AE211" s="42" t="str">
        <f aca="false">IF(OR(A211="",NOT(ISNUMBER(AC211)),NOT(ISNUMBER(AD211))),"",IF(AD211&gt;0,AC211/AD211,""))</f>
        <v/>
      </c>
      <c r="AF211" s="42" t="str">
        <f aca="false">IF(OR(A211="",AB211=""),"",IFERROR(INDEX(Arbeitszeitmodelle!$C$5:$C$34,MATCH(AB211,Arbeitszeitmodelle!$A$5:$A$34,0)),""))</f>
        <v/>
      </c>
      <c r="AG211" s="38"/>
      <c r="AH211" s="38"/>
      <c r="AI211" s="38"/>
      <c r="AJ211" s="41"/>
      <c r="AK211" s="41"/>
      <c r="AL211" s="38"/>
      <c r="AM211" s="41"/>
      <c r="AN211" s="38"/>
      <c r="AO211" s="38"/>
      <c r="AP211" s="38"/>
      <c r="AQ211" s="38"/>
      <c r="AR211" s="41"/>
      <c r="AS211" s="40"/>
      <c r="AT211" s="39"/>
      <c r="AU211" s="41"/>
      <c r="AV211" s="43" t="str">
        <f aca="false">IF(OR(A211="",NOT(ISNUMBER(AD211))),"",P_MinUrlaubWerktage/6*AD211)</f>
        <v/>
      </c>
      <c r="AW211" s="43" t="str">
        <f aca="false">IF(A211="","",IF(M211="Ja",P_ZusatzSB*IF(ISNUMBER(AD211),AD211,5)/5,0))</f>
        <v/>
      </c>
      <c r="AX211" s="41"/>
      <c r="AY211" s="39"/>
      <c r="AZ211" s="43" t="str">
        <f aca="false">IF(OR(A211="",NOT(ISNUMBER(AU211))),"",SUM(AU211,AW211,AX211))</f>
        <v/>
      </c>
      <c r="BA211" s="38"/>
      <c r="BB211" s="44"/>
      <c r="BC211" s="44"/>
      <c r="BD211" s="45" t="str">
        <f aca="false">IF(A211="","",IF(BA211="Stundenlohn",IF(ISNUMBER(BC211),BC211,""),IF(AND(ISNUMBER(BB211),ISNUMBER(AC211)),IF(AC211&gt;0,BB211*12/(AC211*52),""),"")))</f>
        <v/>
      </c>
      <c r="BE211" s="46" t="str">
        <f aca="false">IF(OR(A211="",NOT(ISNUMBER(F211))),"",IFERROR(DATEDIF(F211,P_Stichtag,"Y"),""))</f>
        <v/>
      </c>
      <c r="BF211" s="47" t="str">
        <f aca="false">IF(OR(A211="",NOT(ISNUMBER(BE211))),"",IF(BE211&lt;18,"Ja","Nein"))</f>
        <v/>
      </c>
      <c r="BG211" s="48" t="str">
        <f aca="false">IF(A211="","",IF((IF(OR(B211="",C211="",F211="",N211="",Q211="",AB211="",AC211="",AD211="",AU211=""),"Pflichtfelder fehlen; ","")&amp;IF(AND(ISNUMBER(AC211),AC211&gt;P_MaxWoche),"Wochenstunden &gt; Prüfgrenze; ","")&amp;IF(AND(BF211="Ja",ISNUMBER(AC211),AC211&gt;P_MaxWocheJugend),"Jugendlicher &gt; 40 h/Woche; ","")&amp;IF(AND(ISNUMBER(BD211),BD211&lt;P_Mindestlohn,Q211&lt;&gt;"Auszubildende/r",Q211&lt;&gt;"Praktikant/in"),"Mindestlohn unterschritten?; ","")&amp;IF(AND(Q211="Minijob (geringfügig)",ISNUMBER(BB211),BB211&gt;P_Minijob),"Minijob-Grenze überschritten; ","")&amp;IF(AND(R211="Ja",S211=""),"Befristung ohne Enddatum; ","")&amp;IF(AND(ISNUMBER(O211),ISNUMBER(N211),O211&lt;N211),"Austritt vor Eintritt; ","")&amp;IF(AND(ISNUMBER(AU211),ISNUMBER(AV211),AU211&lt;AV211),"Urlaub unter gesetzl. Minimum; ","")&amp;IF(AND(ISNUMBER(AC211),ISNUMBER(AF211),ABS(N(AC211)-N(AF211))&gt;0.01),"Wochenstd. weichen vom Modell ab; ","")&amp;IF(AND(AI211="Ja",OR(AJ211="",AK211="")),"Kontogrenzen fehlen; ","")&amp;IF(AND(AL211="Mit Gehalt abgegolten (Pauschale)",AM211=""),"Überstunden-Pauschale fehlt; ",""))="","OK",IF(OR(B211="",C211="",F211="",N211="",Q211="",AB211="",AC211="",AD211="",AU211=""),"Pflichtfelder fehlen; ","")&amp;IF(AND(ISNUMBER(AC211),AC211&gt;P_MaxWoche),"Wochenstunden &gt; Prüfgrenze; ","")&amp;IF(AND(BF211="Ja",ISNUMBER(AC211),AC211&gt;P_MaxWocheJugend),"Jugendlicher &gt; 40 h/Woche; ","")&amp;IF(AND(ISNUMBER(BD211),BD211&lt;P_Mindestlohn,Q211&lt;&gt;"Auszubildende/r",Q211&lt;&gt;"Praktikant/in"),"Mindestlohn unterschritten?; ","")&amp;IF(AND(Q211="Minijob (geringfügig)",ISNUMBER(BB211),BB211&gt;P_Minijob),"Minijob-Grenze überschritten; ","")&amp;IF(AND(R211="Ja",S211=""),"Befristung ohne Enddatum; ","")&amp;IF(AND(ISNUMBER(O211),ISNUMBER(N211),O211&lt;N211),"Austritt vor Eintritt; ","")&amp;IF(AND(ISNUMBER(AU211),ISNUMBER(AV211),AU211&lt;AV211),"Urlaub unter gesetzl. Minimum; ","")&amp;IF(AND(ISNUMBER(AC211),ISNUMBER(AF211),ABS(N(AC211)-N(AF211))&gt;0.01),"Wochenstd. weichen vom Modell ab; ","")&amp;IF(AND(AI211="Ja",OR(AJ211="",AK211="")),"Kontogrenzen fehlen; ","")&amp;IF(AND(AL211="Mit Gehalt abgegolten (Pauschale)",AM211=""),"Überstunden-Pauschale fehlt; ","")))</f>
        <v/>
      </c>
      <c r="BH211" s="38"/>
    </row>
    <row r="212" customFormat="false" ht="15" hidden="false" customHeight="false" outlineLevel="0" collapsed="false">
      <c r="A212" s="37"/>
      <c r="B212" s="38"/>
      <c r="C212" s="38"/>
      <c r="D212" s="38"/>
      <c r="E212" s="38"/>
      <c r="F212" s="39"/>
      <c r="G212" s="38"/>
      <c r="H212" s="38"/>
      <c r="I212" s="37"/>
      <c r="J212" s="38"/>
      <c r="K212" s="38"/>
      <c r="L212" s="38"/>
      <c r="M212" s="38"/>
      <c r="N212" s="39"/>
      <c r="O212" s="39"/>
      <c r="P212" s="38"/>
      <c r="Q212" s="38"/>
      <c r="R212" s="38"/>
      <c r="S212" s="39"/>
      <c r="T212" s="39"/>
      <c r="U212" s="38"/>
      <c r="V212" s="38"/>
      <c r="W212" s="37"/>
      <c r="X212" s="38"/>
      <c r="Y212" s="38"/>
      <c r="Z212" s="37"/>
      <c r="AA212" s="38"/>
      <c r="AB212" s="38"/>
      <c r="AC212" s="40"/>
      <c r="AD212" s="41"/>
      <c r="AE212" s="42" t="str">
        <f aca="false">IF(OR(A212="",NOT(ISNUMBER(AC212)),NOT(ISNUMBER(AD212))),"",IF(AD212&gt;0,AC212/AD212,""))</f>
        <v/>
      </c>
      <c r="AF212" s="42" t="str">
        <f aca="false">IF(OR(A212="",AB212=""),"",IFERROR(INDEX(Arbeitszeitmodelle!$C$5:$C$34,MATCH(AB212,Arbeitszeitmodelle!$A$5:$A$34,0)),""))</f>
        <v/>
      </c>
      <c r="AG212" s="38"/>
      <c r="AH212" s="38"/>
      <c r="AI212" s="38"/>
      <c r="AJ212" s="41"/>
      <c r="AK212" s="41"/>
      <c r="AL212" s="38"/>
      <c r="AM212" s="41"/>
      <c r="AN212" s="38"/>
      <c r="AO212" s="38"/>
      <c r="AP212" s="38"/>
      <c r="AQ212" s="38"/>
      <c r="AR212" s="41"/>
      <c r="AS212" s="40"/>
      <c r="AT212" s="39"/>
      <c r="AU212" s="41"/>
      <c r="AV212" s="43" t="str">
        <f aca="false">IF(OR(A212="",NOT(ISNUMBER(AD212))),"",P_MinUrlaubWerktage/6*AD212)</f>
        <v/>
      </c>
      <c r="AW212" s="43" t="str">
        <f aca="false">IF(A212="","",IF(M212="Ja",P_ZusatzSB*IF(ISNUMBER(AD212),AD212,5)/5,0))</f>
        <v/>
      </c>
      <c r="AX212" s="41"/>
      <c r="AY212" s="39"/>
      <c r="AZ212" s="43" t="str">
        <f aca="false">IF(OR(A212="",NOT(ISNUMBER(AU212))),"",SUM(AU212,AW212,AX212))</f>
        <v/>
      </c>
      <c r="BA212" s="38"/>
      <c r="BB212" s="44"/>
      <c r="BC212" s="44"/>
      <c r="BD212" s="45" t="str">
        <f aca="false">IF(A212="","",IF(BA212="Stundenlohn",IF(ISNUMBER(BC212),BC212,""),IF(AND(ISNUMBER(BB212),ISNUMBER(AC212)),IF(AC212&gt;0,BB212*12/(AC212*52),""),"")))</f>
        <v/>
      </c>
      <c r="BE212" s="46" t="str">
        <f aca="false">IF(OR(A212="",NOT(ISNUMBER(F212))),"",IFERROR(DATEDIF(F212,P_Stichtag,"Y"),""))</f>
        <v/>
      </c>
      <c r="BF212" s="47" t="str">
        <f aca="false">IF(OR(A212="",NOT(ISNUMBER(BE212))),"",IF(BE212&lt;18,"Ja","Nein"))</f>
        <v/>
      </c>
      <c r="BG212" s="48" t="str">
        <f aca="false">IF(A212="","",IF((IF(OR(B212="",C212="",F212="",N212="",Q212="",AB212="",AC212="",AD212="",AU212=""),"Pflichtfelder fehlen; ","")&amp;IF(AND(ISNUMBER(AC212),AC212&gt;P_MaxWoche),"Wochenstunden &gt; Prüfgrenze; ","")&amp;IF(AND(BF212="Ja",ISNUMBER(AC212),AC212&gt;P_MaxWocheJugend),"Jugendlicher &gt; 40 h/Woche; ","")&amp;IF(AND(ISNUMBER(BD212),BD212&lt;P_Mindestlohn,Q212&lt;&gt;"Auszubildende/r",Q212&lt;&gt;"Praktikant/in"),"Mindestlohn unterschritten?; ","")&amp;IF(AND(Q212="Minijob (geringfügig)",ISNUMBER(BB212),BB212&gt;P_Minijob),"Minijob-Grenze überschritten; ","")&amp;IF(AND(R212="Ja",S212=""),"Befristung ohne Enddatum; ","")&amp;IF(AND(ISNUMBER(O212),ISNUMBER(N212),O212&lt;N212),"Austritt vor Eintritt; ","")&amp;IF(AND(ISNUMBER(AU212),ISNUMBER(AV212),AU212&lt;AV212),"Urlaub unter gesetzl. Minimum; ","")&amp;IF(AND(ISNUMBER(AC212),ISNUMBER(AF212),ABS(N(AC212)-N(AF212))&gt;0.01),"Wochenstd. weichen vom Modell ab; ","")&amp;IF(AND(AI212="Ja",OR(AJ212="",AK212="")),"Kontogrenzen fehlen; ","")&amp;IF(AND(AL212="Mit Gehalt abgegolten (Pauschale)",AM212=""),"Überstunden-Pauschale fehlt; ",""))="","OK",IF(OR(B212="",C212="",F212="",N212="",Q212="",AB212="",AC212="",AD212="",AU212=""),"Pflichtfelder fehlen; ","")&amp;IF(AND(ISNUMBER(AC212),AC212&gt;P_MaxWoche),"Wochenstunden &gt; Prüfgrenze; ","")&amp;IF(AND(BF212="Ja",ISNUMBER(AC212),AC212&gt;P_MaxWocheJugend),"Jugendlicher &gt; 40 h/Woche; ","")&amp;IF(AND(ISNUMBER(BD212),BD212&lt;P_Mindestlohn,Q212&lt;&gt;"Auszubildende/r",Q212&lt;&gt;"Praktikant/in"),"Mindestlohn unterschritten?; ","")&amp;IF(AND(Q212="Minijob (geringfügig)",ISNUMBER(BB212),BB212&gt;P_Minijob),"Minijob-Grenze überschritten; ","")&amp;IF(AND(R212="Ja",S212=""),"Befristung ohne Enddatum; ","")&amp;IF(AND(ISNUMBER(O212),ISNUMBER(N212),O212&lt;N212),"Austritt vor Eintritt; ","")&amp;IF(AND(ISNUMBER(AU212),ISNUMBER(AV212),AU212&lt;AV212),"Urlaub unter gesetzl. Minimum; ","")&amp;IF(AND(ISNUMBER(AC212),ISNUMBER(AF212),ABS(N(AC212)-N(AF212))&gt;0.01),"Wochenstd. weichen vom Modell ab; ","")&amp;IF(AND(AI212="Ja",OR(AJ212="",AK212="")),"Kontogrenzen fehlen; ","")&amp;IF(AND(AL212="Mit Gehalt abgegolten (Pauschale)",AM212=""),"Überstunden-Pauschale fehlt; ","")))</f>
        <v/>
      </c>
      <c r="BH212" s="38"/>
    </row>
    <row r="213" customFormat="false" ht="15" hidden="false" customHeight="false" outlineLevel="0" collapsed="false">
      <c r="A213" s="37"/>
      <c r="B213" s="38"/>
      <c r="C213" s="38"/>
      <c r="D213" s="38"/>
      <c r="E213" s="38"/>
      <c r="F213" s="39"/>
      <c r="G213" s="38"/>
      <c r="H213" s="38"/>
      <c r="I213" s="37"/>
      <c r="J213" s="38"/>
      <c r="K213" s="38"/>
      <c r="L213" s="38"/>
      <c r="M213" s="38"/>
      <c r="N213" s="39"/>
      <c r="O213" s="39"/>
      <c r="P213" s="38"/>
      <c r="Q213" s="38"/>
      <c r="R213" s="38"/>
      <c r="S213" s="39"/>
      <c r="T213" s="39"/>
      <c r="U213" s="38"/>
      <c r="V213" s="38"/>
      <c r="W213" s="37"/>
      <c r="X213" s="38"/>
      <c r="Y213" s="38"/>
      <c r="Z213" s="37"/>
      <c r="AA213" s="38"/>
      <c r="AB213" s="38"/>
      <c r="AC213" s="40"/>
      <c r="AD213" s="41"/>
      <c r="AE213" s="42" t="str">
        <f aca="false">IF(OR(A213="",NOT(ISNUMBER(AC213)),NOT(ISNUMBER(AD213))),"",IF(AD213&gt;0,AC213/AD213,""))</f>
        <v/>
      </c>
      <c r="AF213" s="42" t="str">
        <f aca="false">IF(OR(A213="",AB213=""),"",IFERROR(INDEX(Arbeitszeitmodelle!$C$5:$C$34,MATCH(AB213,Arbeitszeitmodelle!$A$5:$A$34,0)),""))</f>
        <v/>
      </c>
      <c r="AG213" s="38"/>
      <c r="AH213" s="38"/>
      <c r="AI213" s="38"/>
      <c r="AJ213" s="41"/>
      <c r="AK213" s="41"/>
      <c r="AL213" s="38"/>
      <c r="AM213" s="41"/>
      <c r="AN213" s="38"/>
      <c r="AO213" s="38"/>
      <c r="AP213" s="38"/>
      <c r="AQ213" s="38"/>
      <c r="AR213" s="41"/>
      <c r="AS213" s="40"/>
      <c r="AT213" s="39"/>
      <c r="AU213" s="41"/>
      <c r="AV213" s="43" t="str">
        <f aca="false">IF(OR(A213="",NOT(ISNUMBER(AD213))),"",P_MinUrlaubWerktage/6*AD213)</f>
        <v/>
      </c>
      <c r="AW213" s="43" t="str">
        <f aca="false">IF(A213="","",IF(M213="Ja",P_ZusatzSB*IF(ISNUMBER(AD213),AD213,5)/5,0))</f>
        <v/>
      </c>
      <c r="AX213" s="41"/>
      <c r="AY213" s="39"/>
      <c r="AZ213" s="43" t="str">
        <f aca="false">IF(OR(A213="",NOT(ISNUMBER(AU213))),"",SUM(AU213,AW213,AX213))</f>
        <v/>
      </c>
      <c r="BA213" s="38"/>
      <c r="BB213" s="44"/>
      <c r="BC213" s="44"/>
      <c r="BD213" s="45" t="str">
        <f aca="false">IF(A213="","",IF(BA213="Stundenlohn",IF(ISNUMBER(BC213),BC213,""),IF(AND(ISNUMBER(BB213),ISNUMBER(AC213)),IF(AC213&gt;0,BB213*12/(AC213*52),""),"")))</f>
        <v/>
      </c>
      <c r="BE213" s="46" t="str">
        <f aca="false">IF(OR(A213="",NOT(ISNUMBER(F213))),"",IFERROR(DATEDIF(F213,P_Stichtag,"Y"),""))</f>
        <v/>
      </c>
      <c r="BF213" s="47" t="str">
        <f aca="false">IF(OR(A213="",NOT(ISNUMBER(BE213))),"",IF(BE213&lt;18,"Ja","Nein"))</f>
        <v/>
      </c>
      <c r="BG213" s="48" t="str">
        <f aca="false">IF(A213="","",IF((IF(OR(B213="",C213="",F213="",N213="",Q213="",AB213="",AC213="",AD213="",AU213=""),"Pflichtfelder fehlen; ","")&amp;IF(AND(ISNUMBER(AC213),AC213&gt;P_MaxWoche),"Wochenstunden &gt; Prüfgrenze; ","")&amp;IF(AND(BF213="Ja",ISNUMBER(AC213),AC213&gt;P_MaxWocheJugend),"Jugendlicher &gt; 40 h/Woche; ","")&amp;IF(AND(ISNUMBER(BD213),BD213&lt;P_Mindestlohn,Q213&lt;&gt;"Auszubildende/r",Q213&lt;&gt;"Praktikant/in"),"Mindestlohn unterschritten?; ","")&amp;IF(AND(Q213="Minijob (geringfügig)",ISNUMBER(BB213),BB213&gt;P_Minijob),"Minijob-Grenze überschritten; ","")&amp;IF(AND(R213="Ja",S213=""),"Befristung ohne Enddatum; ","")&amp;IF(AND(ISNUMBER(O213),ISNUMBER(N213),O213&lt;N213),"Austritt vor Eintritt; ","")&amp;IF(AND(ISNUMBER(AU213),ISNUMBER(AV213),AU213&lt;AV213),"Urlaub unter gesetzl. Minimum; ","")&amp;IF(AND(ISNUMBER(AC213),ISNUMBER(AF213),ABS(N(AC213)-N(AF213))&gt;0.01),"Wochenstd. weichen vom Modell ab; ","")&amp;IF(AND(AI213="Ja",OR(AJ213="",AK213="")),"Kontogrenzen fehlen; ","")&amp;IF(AND(AL213="Mit Gehalt abgegolten (Pauschale)",AM213=""),"Überstunden-Pauschale fehlt; ",""))="","OK",IF(OR(B213="",C213="",F213="",N213="",Q213="",AB213="",AC213="",AD213="",AU213=""),"Pflichtfelder fehlen; ","")&amp;IF(AND(ISNUMBER(AC213),AC213&gt;P_MaxWoche),"Wochenstunden &gt; Prüfgrenze; ","")&amp;IF(AND(BF213="Ja",ISNUMBER(AC213),AC213&gt;P_MaxWocheJugend),"Jugendlicher &gt; 40 h/Woche; ","")&amp;IF(AND(ISNUMBER(BD213),BD213&lt;P_Mindestlohn,Q213&lt;&gt;"Auszubildende/r",Q213&lt;&gt;"Praktikant/in"),"Mindestlohn unterschritten?; ","")&amp;IF(AND(Q213="Minijob (geringfügig)",ISNUMBER(BB213),BB213&gt;P_Minijob),"Minijob-Grenze überschritten; ","")&amp;IF(AND(R213="Ja",S213=""),"Befristung ohne Enddatum; ","")&amp;IF(AND(ISNUMBER(O213),ISNUMBER(N213),O213&lt;N213),"Austritt vor Eintritt; ","")&amp;IF(AND(ISNUMBER(AU213),ISNUMBER(AV213),AU213&lt;AV213),"Urlaub unter gesetzl. Minimum; ","")&amp;IF(AND(ISNUMBER(AC213),ISNUMBER(AF213),ABS(N(AC213)-N(AF213))&gt;0.01),"Wochenstd. weichen vom Modell ab; ","")&amp;IF(AND(AI213="Ja",OR(AJ213="",AK213="")),"Kontogrenzen fehlen; ","")&amp;IF(AND(AL213="Mit Gehalt abgegolten (Pauschale)",AM213=""),"Überstunden-Pauschale fehlt; ","")))</f>
        <v/>
      </c>
      <c r="BH213" s="38"/>
    </row>
    <row r="214" customFormat="false" ht="15" hidden="false" customHeight="false" outlineLevel="0" collapsed="false">
      <c r="A214" s="37"/>
      <c r="B214" s="38"/>
      <c r="C214" s="38"/>
      <c r="D214" s="38"/>
      <c r="E214" s="38"/>
      <c r="F214" s="39"/>
      <c r="G214" s="38"/>
      <c r="H214" s="38"/>
      <c r="I214" s="37"/>
      <c r="J214" s="38"/>
      <c r="K214" s="38"/>
      <c r="L214" s="38"/>
      <c r="M214" s="38"/>
      <c r="N214" s="39"/>
      <c r="O214" s="39"/>
      <c r="P214" s="38"/>
      <c r="Q214" s="38"/>
      <c r="R214" s="38"/>
      <c r="S214" s="39"/>
      <c r="T214" s="39"/>
      <c r="U214" s="38"/>
      <c r="V214" s="38"/>
      <c r="W214" s="37"/>
      <c r="X214" s="38"/>
      <c r="Y214" s="38"/>
      <c r="Z214" s="37"/>
      <c r="AA214" s="38"/>
      <c r="AB214" s="38"/>
      <c r="AC214" s="40"/>
      <c r="AD214" s="41"/>
      <c r="AE214" s="42" t="str">
        <f aca="false">IF(OR(A214="",NOT(ISNUMBER(AC214)),NOT(ISNUMBER(AD214))),"",IF(AD214&gt;0,AC214/AD214,""))</f>
        <v/>
      </c>
      <c r="AF214" s="42" t="str">
        <f aca="false">IF(OR(A214="",AB214=""),"",IFERROR(INDEX(Arbeitszeitmodelle!$C$5:$C$34,MATCH(AB214,Arbeitszeitmodelle!$A$5:$A$34,0)),""))</f>
        <v/>
      </c>
      <c r="AG214" s="38"/>
      <c r="AH214" s="38"/>
      <c r="AI214" s="38"/>
      <c r="AJ214" s="41"/>
      <c r="AK214" s="41"/>
      <c r="AL214" s="38"/>
      <c r="AM214" s="41"/>
      <c r="AN214" s="38"/>
      <c r="AO214" s="38"/>
      <c r="AP214" s="38"/>
      <c r="AQ214" s="38"/>
      <c r="AR214" s="41"/>
      <c r="AS214" s="40"/>
      <c r="AT214" s="39"/>
      <c r="AU214" s="41"/>
      <c r="AV214" s="43" t="str">
        <f aca="false">IF(OR(A214="",NOT(ISNUMBER(AD214))),"",P_MinUrlaubWerktage/6*AD214)</f>
        <v/>
      </c>
      <c r="AW214" s="43" t="str">
        <f aca="false">IF(A214="","",IF(M214="Ja",P_ZusatzSB*IF(ISNUMBER(AD214),AD214,5)/5,0))</f>
        <v/>
      </c>
      <c r="AX214" s="41"/>
      <c r="AY214" s="39"/>
      <c r="AZ214" s="43" t="str">
        <f aca="false">IF(OR(A214="",NOT(ISNUMBER(AU214))),"",SUM(AU214,AW214,AX214))</f>
        <v/>
      </c>
      <c r="BA214" s="38"/>
      <c r="BB214" s="44"/>
      <c r="BC214" s="44"/>
      <c r="BD214" s="45" t="str">
        <f aca="false">IF(A214="","",IF(BA214="Stundenlohn",IF(ISNUMBER(BC214),BC214,""),IF(AND(ISNUMBER(BB214),ISNUMBER(AC214)),IF(AC214&gt;0,BB214*12/(AC214*52),""),"")))</f>
        <v/>
      </c>
      <c r="BE214" s="46" t="str">
        <f aca="false">IF(OR(A214="",NOT(ISNUMBER(F214))),"",IFERROR(DATEDIF(F214,P_Stichtag,"Y"),""))</f>
        <v/>
      </c>
      <c r="BF214" s="47" t="str">
        <f aca="false">IF(OR(A214="",NOT(ISNUMBER(BE214))),"",IF(BE214&lt;18,"Ja","Nein"))</f>
        <v/>
      </c>
      <c r="BG214" s="48" t="str">
        <f aca="false">IF(A214="","",IF((IF(OR(B214="",C214="",F214="",N214="",Q214="",AB214="",AC214="",AD214="",AU214=""),"Pflichtfelder fehlen; ","")&amp;IF(AND(ISNUMBER(AC214),AC214&gt;P_MaxWoche),"Wochenstunden &gt; Prüfgrenze; ","")&amp;IF(AND(BF214="Ja",ISNUMBER(AC214),AC214&gt;P_MaxWocheJugend),"Jugendlicher &gt; 40 h/Woche; ","")&amp;IF(AND(ISNUMBER(BD214),BD214&lt;P_Mindestlohn,Q214&lt;&gt;"Auszubildende/r",Q214&lt;&gt;"Praktikant/in"),"Mindestlohn unterschritten?; ","")&amp;IF(AND(Q214="Minijob (geringfügig)",ISNUMBER(BB214),BB214&gt;P_Minijob),"Minijob-Grenze überschritten; ","")&amp;IF(AND(R214="Ja",S214=""),"Befristung ohne Enddatum; ","")&amp;IF(AND(ISNUMBER(O214),ISNUMBER(N214),O214&lt;N214),"Austritt vor Eintritt; ","")&amp;IF(AND(ISNUMBER(AU214),ISNUMBER(AV214),AU214&lt;AV214),"Urlaub unter gesetzl. Minimum; ","")&amp;IF(AND(ISNUMBER(AC214),ISNUMBER(AF214),ABS(N(AC214)-N(AF214))&gt;0.01),"Wochenstd. weichen vom Modell ab; ","")&amp;IF(AND(AI214="Ja",OR(AJ214="",AK214="")),"Kontogrenzen fehlen; ","")&amp;IF(AND(AL214="Mit Gehalt abgegolten (Pauschale)",AM214=""),"Überstunden-Pauschale fehlt; ",""))="","OK",IF(OR(B214="",C214="",F214="",N214="",Q214="",AB214="",AC214="",AD214="",AU214=""),"Pflichtfelder fehlen; ","")&amp;IF(AND(ISNUMBER(AC214),AC214&gt;P_MaxWoche),"Wochenstunden &gt; Prüfgrenze; ","")&amp;IF(AND(BF214="Ja",ISNUMBER(AC214),AC214&gt;P_MaxWocheJugend),"Jugendlicher &gt; 40 h/Woche; ","")&amp;IF(AND(ISNUMBER(BD214),BD214&lt;P_Mindestlohn,Q214&lt;&gt;"Auszubildende/r",Q214&lt;&gt;"Praktikant/in"),"Mindestlohn unterschritten?; ","")&amp;IF(AND(Q214="Minijob (geringfügig)",ISNUMBER(BB214),BB214&gt;P_Minijob),"Minijob-Grenze überschritten; ","")&amp;IF(AND(R214="Ja",S214=""),"Befristung ohne Enddatum; ","")&amp;IF(AND(ISNUMBER(O214),ISNUMBER(N214),O214&lt;N214),"Austritt vor Eintritt; ","")&amp;IF(AND(ISNUMBER(AU214),ISNUMBER(AV214),AU214&lt;AV214),"Urlaub unter gesetzl. Minimum; ","")&amp;IF(AND(ISNUMBER(AC214),ISNUMBER(AF214),ABS(N(AC214)-N(AF214))&gt;0.01),"Wochenstd. weichen vom Modell ab; ","")&amp;IF(AND(AI214="Ja",OR(AJ214="",AK214="")),"Kontogrenzen fehlen; ","")&amp;IF(AND(AL214="Mit Gehalt abgegolten (Pauschale)",AM214=""),"Überstunden-Pauschale fehlt; ","")))</f>
        <v/>
      </c>
      <c r="BH214" s="38"/>
    </row>
    <row r="215" customFormat="false" ht="15" hidden="false" customHeight="false" outlineLevel="0" collapsed="false">
      <c r="A215" s="37"/>
      <c r="B215" s="38"/>
      <c r="C215" s="38"/>
      <c r="D215" s="38"/>
      <c r="E215" s="38"/>
      <c r="F215" s="39"/>
      <c r="G215" s="38"/>
      <c r="H215" s="38"/>
      <c r="I215" s="37"/>
      <c r="J215" s="38"/>
      <c r="K215" s="38"/>
      <c r="L215" s="38"/>
      <c r="M215" s="38"/>
      <c r="N215" s="39"/>
      <c r="O215" s="39"/>
      <c r="P215" s="38"/>
      <c r="Q215" s="38"/>
      <c r="R215" s="38"/>
      <c r="S215" s="39"/>
      <c r="T215" s="39"/>
      <c r="U215" s="38"/>
      <c r="V215" s="38"/>
      <c r="W215" s="37"/>
      <c r="X215" s="38"/>
      <c r="Y215" s="38"/>
      <c r="Z215" s="37"/>
      <c r="AA215" s="38"/>
      <c r="AB215" s="38"/>
      <c r="AC215" s="40"/>
      <c r="AD215" s="41"/>
      <c r="AE215" s="42" t="str">
        <f aca="false">IF(OR(A215="",NOT(ISNUMBER(AC215)),NOT(ISNUMBER(AD215))),"",IF(AD215&gt;0,AC215/AD215,""))</f>
        <v/>
      </c>
      <c r="AF215" s="42" t="str">
        <f aca="false">IF(OR(A215="",AB215=""),"",IFERROR(INDEX(Arbeitszeitmodelle!$C$5:$C$34,MATCH(AB215,Arbeitszeitmodelle!$A$5:$A$34,0)),""))</f>
        <v/>
      </c>
      <c r="AG215" s="38"/>
      <c r="AH215" s="38"/>
      <c r="AI215" s="38"/>
      <c r="AJ215" s="41"/>
      <c r="AK215" s="41"/>
      <c r="AL215" s="38"/>
      <c r="AM215" s="41"/>
      <c r="AN215" s="38"/>
      <c r="AO215" s="38"/>
      <c r="AP215" s="38"/>
      <c r="AQ215" s="38"/>
      <c r="AR215" s="41"/>
      <c r="AS215" s="40"/>
      <c r="AT215" s="39"/>
      <c r="AU215" s="41"/>
      <c r="AV215" s="43" t="str">
        <f aca="false">IF(OR(A215="",NOT(ISNUMBER(AD215))),"",P_MinUrlaubWerktage/6*AD215)</f>
        <v/>
      </c>
      <c r="AW215" s="43" t="str">
        <f aca="false">IF(A215="","",IF(M215="Ja",P_ZusatzSB*IF(ISNUMBER(AD215),AD215,5)/5,0))</f>
        <v/>
      </c>
      <c r="AX215" s="41"/>
      <c r="AY215" s="39"/>
      <c r="AZ215" s="43" t="str">
        <f aca="false">IF(OR(A215="",NOT(ISNUMBER(AU215))),"",SUM(AU215,AW215,AX215))</f>
        <v/>
      </c>
      <c r="BA215" s="38"/>
      <c r="BB215" s="44"/>
      <c r="BC215" s="44"/>
      <c r="BD215" s="45" t="str">
        <f aca="false">IF(A215="","",IF(BA215="Stundenlohn",IF(ISNUMBER(BC215),BC215,""),IF(AND(ISNUMBER(BB215),ISNUMBER(AC215)),IF(AC215&gt;0,BB215*12/(AC215*52),""),"")))</f>
        <v/>
      </c>
      <c r="BE215" s="46" t="str">
        <f aca="false">IF(OR(A215="",NOT(ISNUMBER(F215))),"",IFERROR(DATEDIF(F215,P_Stichtag,"Y"),""))</f>
        <v/>
      </c>
      <c r="BF215" s="47" t="str">
        <f aca="false">IF(OR(A215="",NOT(ISNUMBER(BE215))),"",IF(BE215&lt;18,"Ja","Nein"))</f>
        <v/>
      </c>
      <c r="BG215" s="48" t="str">
        <f aca="false">IF(A215="","",IF((IF(OR(B215="",C215="",F215="",N215="",Q215="",AB215="",AC215="",AD215="",AU215=""),"Pflichtfelder fehlen; ","")&amp;IF(AND(ISNUMBER(AC215),AC215&gt;P_MaxWoche),"Wochenstunden &gt; Prüfgrenze; ","")&amp;IF(AND(BF215="Ja",ISNUMBER(AC215),AC215&gt;P_MaxWocheJugend),"Jugendlicher &gt; 40 h/Woche; ","")&amp;IF(AND(ISNUMBER(BD215),BD215&lt;P_Mindestlohn,Q215&lt;&gt;"Auszubildende/r",Q215&lt;&gt;"Praktikant/in"),"Mindestlohn unterschritten?; ","")&amp;IF(AND(Q215="Minijob (geringfügig)",ISNUMBER(BB215),BB215&gt;P_Minijob),"Minijob-Grenze überschritten; ","")&amp;IF(AND(R215="Ja",S215=""),"Befristung ohne Enddatum; ","")&amp;IF(AND(ISNUMBER(O215),ISNUMBER(N215),O215&lt;N215),"Austritt vor Eintritt; ","")&amp;IF(AND(ISNUMBER(AU215),ISNUMBER(AV215),AU215&lt;AV215),"Urlaub unter gesetzl. Minimum; ","")&amp;IF(AND(ISNUMBER(AC215),ISNUMBER(AF215),ABS(N(AC215)-N(AF215))&gt;0.01),"Wochenstd. weichen vom Modell ab; ","")&amp;IF(AND(AI215="Ja",OR(AJ215="",AK215="")),"Kontogrenzen fehlen; ","")&amp;IF(AND(AL215="Mit Gehalt abgegolten (Pauschale)",AM215=""),"Überstunden-Pauschale fehlt; ",""))="","OK",IF(OR(B215="",C215="",F215="",N215="",Q215="",AB215="",AC215="",AD215="",AU215=""),"Pflichtfelder fehlen; ","")&amp;IF(AND(ISNUMBER(AC215),AC215&gt;P_MaxWoche),"Wochenstunden &gt; Prüfgrenze; ","")&amp;IF(AND(BF215="Ja",ISNUMBER(AC215),AC215&gt;P_MaxWocheJugend),"Jugendlicher &gt; 40 h/Woche; ","")&amp;IF(AND(ISNUMBER(BD215),BD215&lt;P_Mindestlohn,Q215&lt;&gt;"Auszubildende/r",Q215&lt;&gt;"Praktikant/in"),"Mindestlohn unterschritten?; ","")&amp;IF(AND(Q215="Minijob (geringfügig)",ISNUMBER(BB215),BB215&gt;P_Minijob),"Minijob-Grenze überschritten; ","")&amp;IF(AND(R215="Ja",S215=""),"Befristung ohne Enddatum; ","")&amp;IF(AND(ISNUMBER(O215),ISNUMBER(N215),O215&lt;N215),"Austritt vor Eintritt; ","")&amp;IF(AND(ISNUMBER(AU215),ISNUMBER(AV215),AU215&lt;AV215),"Urlaub unter gesetzl. Minimum; ","")&amp;IF(AND(ISNUMBER(AC215),ISNUMBER(AF215),ABS(N(AC215)-N(AF215))&gt;0.01),"Wochenstd. weichen vom Modell ab; ","")&amp;IF(AND(AI215="Ja",OR(AJ215="",AK215="")),"Kontogrenzen fehlen; ","")&amp;IF(AND(AL215="Mit Gehalt abgegolten (Pauschale)",AM215=""),"Überstunden-Pauschale fehlt; ","")))</f>
        <v/>
      </c>
      <c r="BH215" s="38"/>
    </row>
    <row r="216" customFormat="false" ht="15" hidden="false" customHeight="false" outlineLevel="0" collapsed="false">
      <c r="A216" s="37"/>
      <c r="B216" s="38"/>
      <c r="C216" s="38"/>
      <c r="D216" s="38"/>
      <c r="E216" s="38"/>
      <c r="F216" s="39"/>
      <c r="G216" s="38"/>
      <c r="H216" s="38"/>
      <c r="I216" s="37"/>
      <c r="J216" s="38"/>
      <c r="K216" s="38"/>
      <c r="L216" s="38"/>
      <c r="M216" s="38"/>
      <c r="N216" s="39"/>
      <c r="O216" s="39"/>
      <c r="P216" s="38"/>
      <c r="Q216" s="38"/>
      <c r="R216" s="38"/>
      <c r="S216" s="39"/>
      <c r="T216" s="39"/>
      <c r="U216" s="38"/>
      <c r="V216" s="38"/>
      <c r="W216" s="37"/>
      <c r="X216" s="38"/>
      <c r="Y216" s="38"/>
      <c r="Z216" s="37"/>
      <c r="AA216" s="38"/>
      <c r="AB216" s="38"/>
      <c r="AC216" s="40"/>
      <c r="AD216" s="41"/>
      <c r="AE216" s="42" t="str">
        <f aca="false">IF(OR(A216="",NOT(ISNUMBER(AC216)),NOT(ISNUMBER(AD216))),"",IF(AD216&gt;0,AC216/AD216,""))</f>
        <v/>
      </c>
      <c r="AF216" s="42" t="str">
        <f aca="false">IF(OR(A216="",AB216=""),"",IFERROR(INDEX(Arbeitszeitmodelle!$C$5:$C$34,MATCH(AB216,Arbeitszeitmodelle!$A$5:$A$34,0)),""))</f>
        <v/>
      </c>
      <c r="AG216" s="38"/>
      <c r="AH216" s="38"/>
      <c r="AI216" s="38"/>
      <c r="AJ216" s="41"/>
      <c r="AK216" s="41"/>
      <c r="AL216" s="38"/>
      <c r="AM216" s="41"/>
      <c r="AN216" s="38"/>
      <c r="AO216" s="38"/>
      <c r="AP216" s="38"/>
      <c r="AQ216" s="38"/>
      <c r="AR216" s="41"/>
      <c r="AS216" s="40"/>
      <c r="AT216" s="39"/>
      <c r="AU216" s="41"/>
      <c r="AV216" s="43" t="str">
        <f aca="false">IF(OR(A216="",NOT(ISNUMBER(AD216))),"",P_MinUrlaubWerktage/6*AD216)</f>
        <v/>
      </c>
      <c r="AW216" s="43" t="str">
        <f aca="false">IF(A216="","",IF(M216="Ja",P_ZusatzSB*IF(ISNUMBER(AD216),AD216,5)/5,0))</f>
        <v/>
      </c>
      <c r="AX216" s="41"/>
      <c r="AY216" s="39"/>
      <c r="AZ216" s="43" t="str">
        <f aca="false">IF(OR(A216="",NOT(ISNUMBER(AU216))),"",SUM(AU216,AW216,AX216))</f>
        <v/>
      </c>
      <c r="BA216" s="38"/>
      <c r="BB216" s="44"/>
      <c r="BC216" s="44"/>
      <c r="BD216" s="45" t="str">
        <f aca="false">IF(A216="","",IF(BA216="Stundenlohn",IF(ISNUMBER(BC216),BC216,""),IF(AND(ISNUMBER(BB216),ISNUMBER(AC216)),IF(AC216&gt;0,BB216*12/(AC216*52),""),"")))</f>
        <v/>
      </c>
      <c r="BE216" s="46" t="str">
        <f aca="false">IF(OR(A216="",NOT(ISNUMBER(F216))),"",IFERROR(DATEDIF(F216,P_Stichtag,"Y"),""))</f>
        <v/>
      </c>
      <c r="BF216" s="47" t="str">
        <f aca="false">IF(OR(A216="",NOT(ISNUMBER(BE216))),"",IF(BE216&lt;18,"Ja","Nein"))</f>
        <v/>
      </c>
      <c r="BG216" s="48" t="str">
        <f aca="false">IF(A216="","",IF((IF(OR(B216="",C216="",F216="",N216="",Q216="",AB216="",AC216="",AD216="",AU216=""),"Pflichtfelder fehlen; ","")&amp;IF(AND(ISNUMBER(AC216),AC216&gt;P_MaxWoche),"Wochenstunden &gt; Prüfgrenze; ","")&amp;IF(AND(BF216="Ja",ISNUMBER(AC216),AC216&gt;P_MaxWocheJugend),"Jugendlicher &gt; 40 h/Woche; ","")&amp;IF(AND(ISNUMBER(BD216),BD216&lt;P_Mindestlohn,Q216&lt;&gt;"Auszubildende/r",Q216&lt;&gt;"Praktikant/in"),"Mindestlohn unterschritten?; ","")&amp;IF(AND(Q216="Minijob (geringfügig)",ISNUMBER(BB216),BB216&gt;P_Minijob),"Minijob-Grenze überschritten; ","")&amp;IF(AND(R216="Ja",S216=""),"Befristung ohne Enddatum; ","")&amp;IF(AND(ISNUMBER(O216),ISNUMBER(N216),O216&lt;N216),"Austritt vor Eintritt; ","")&amp;IF(AND(ISNUMBER(AU216),ISNUMBER(AV216),AU216&lt;AV216),"Urlaub unter gesetzl. Minimum; ","")&amp;IF(AND(ISNUMBER(AC216),ISNUMBER(AF216),ABS(N(AC216)-N(AF216))&gt;0.01),"Wochenstd. weichen vom Modell ab; ","")&amp;IF(AND(AI216="Ja",OR(AJ216="",AK216="")),"Kontogrenzen fehlen; ","")&amp;IF(AND(AL216="Mit Gehalt abgegolten (Pauschale)",AM216=""),"Überstunden-Pauschale fehlt; ",""))="","OK",IF(OR(B216="",C216="",F216="",N216="",Q216="",AB216="",AC216="",AD216="",AU216=""),"Pflichtfelder fehlen; ","")&amp;IF(AND(ISNUMBER(AC216),AC216&gt;P_MaxWoche),"Wochenstunden &gt; Prüfgrenze; ","")&amp;IF(AND(BF216="Ja",ISNUMBER(AC216),AC216&gt;P_MaxWocheJugend),"Jugendlicher &gt; 40 h/Woche; ","")&amp;IF(AND(ISNUMBER(BD216),BD216&lt;P_Mindestlohn,Q216&lt;&gt;"Auszubildende/r",Q216&lt;&gt;"Praktikant/in"),"Mindestlohn unterschritten?; ","")&amp;IF(AND(Q216="Minijob (geringfügig)",ISNUMBER(BB216),BB216&gt;P_Minijob),"Minijob-Grenze überschritten; ","")&amp;IF(AND(R216="Ja",S216=""),"Befristung ohne Enddatum; ","")&amp;IF(AND(ISNUMBER(O216),ISNUMBER(N216),O216&lt;N216),"Austritt vor Eintritt; ","")&amp;IF(AND(ISNUMBER(AU216),ISNUMBER(AV216),AU216&lt;AV216),"Urlaub unter gesetzl. Minimum; ","")&amp;IF(AND(ISNUMBER(AC216),ISNUMBER(AF216),ABS(N(AC216)-N(AF216))&gt;0.01),"Wochenstd. weichen vom Modell ab; ","")&amp;IF(AND(AI216="Ja",OR(AJ216="",AK216="")),"Kontogrenzen fehlen; ","")&amp;IF(AND(AL216="Mit Gehalt abgegolten (Pauschale)",AM216=""),"Überstunden-Pauschale fehlt; ","")))</f>
        <v/>
      </c>
      <c r="BH216" s="38"/>
    </row>
    <row r="217" customFormat="false" ht="15" hidden="false" customHeight="false" outlineLevel="0" collapsed="false">
      <c r="A217" s="37"/>
      <c r="B217" s="38"/>
      <c r="C217" s="38"/>
      <c r="D217" s="38"/>
      <c r="E217" s="38"/>
      <c r="F217" s="39"/>
      <c r="G217" s="38"/>
      <c r="H217" s="38"/>
      <c r="I217" s="37"/>
      <c r="J217" s="38"/>
      <c r="K217" s="38"/>
      <c r="L217" s="38"/>
      <c r="M217" s="38"/>
      <c r="N217" s="39"/>
      <c r="O217" s="39"/>
      <c r="P217" s="38"/>
      <c r="Q217" s="38"/>
      <c r="R217" s="38"/>
      <c r="S217" s="39"/>
      <c r="T217" s="39"/>
      <c r="U217" s="38"/>
      <c r="V217" s="38"/>
      <c r="W217" s="37"/>
      <c r="X217" s="38"/>
      <c r="Y217" s="38"/>
      <c r="Z217" s="37"/>
      <c r="AA217" s="38"/>
      <c r="AB217" s="38"/>
      <c r="AC217" s="40"/>
      <c r="AD217" s="41"/>
      <c r="AE217" s="42" t="str">
        <f aca="false">IF(OR(A217="",NOT(ISNUMBER(AC217)),NOT(ISNUMBER(AD217))),"",IF(AD217&gt;0,AC217/AD217,""))</f>
        <v/>
      </c>
      <c r="AF217" s="42" t="str">
        <f aca="false">IF(OR(A217="",AB217=""),"",IFERROR(INDEX(Arbeitszeitmodelle!$C$5:$C$34,MATCH(AB217,Arbeitszeitmodelle!$A$5:$A$34,0)),""))</f>
        <v/>
      </c>
      <c r="AG217" s="38"/>
      <c r="AH217" s="38"/>
      <c r="AI217" s="38"/>
      <c r="AJ217" s="41"/>
      <c r="AK217" s="41"/>
      <c r="AL217" s="38"/>
      <c r="AM217" s="41"/>
      <c r="AN217" s="38"/>
      <c r="AO217" s="38"/>
      <c r="AP217" s="38"/>
      <c r="AQ217" s="38"/>
      <c r="AR217" s="41"/>
      <c r="AS217" s="40"/>
      <c r="AT217" s="39"/>
      <c r="AU217" s="41"/>
      <c r="AV217" s="43" t="str">
        <f aca="false">IF(OR(A217="",NOT(ISNUMBER(AD217))),"",P_MinUrlaubWerktage/6*AD217)</f>
        <v/>
      </c>
      <c r="AW217" s="43" t="str">
        <f aca="false">IF(A217="","",IF(M217="Ja",P_ZusatzSB*IF(ISNUMBER(AD217),AD217,5)/5,0))</f>
        <v/>
      </c>
      <c r="AX217" s="41"/>
      <c r="AY217" s="39"/>
      <c r="AZ217" s="43" t="str">
        <f aca="false">IF(OR(A217="",NOT(ISNUMBER(AU217))),"",SUM(AU217,AW217,AX217))</f>
        <v/>
      </c>
      <c r="BA217" s="38"/>
      <c r="BB217" s="44"/>
      <c r="BC217" s="44"/>
      <c r="BD217" s="45" t="str">
        <f aca="false">IF(A217="","",IF(BA217="Stundenlohn",IF(ISNUMBER(BC217),BC217,""),IF(AND(ISNUMBER(BB217),ISNUMBER(AC217)),IF(AC217&gt;0,BB217*12/(AC217*52),""),"")))</f>
        <v/>
      </c>
      <c r="BE217" s="46" t="str">
        <f aca="false">IF(OR(A217="",NOT(ISNUMBER(F217))),"",IFERROR(DATEDIF(F217,P_Stichtag,"Y"),""))</f>
        <v/>
      </c>
      <c r="BF217" s="47" t="str">
        <f aca="false">IF(OR(A217="",NOT(ISNUMBER(BE217))),"",IF(BE217&lt;18,"Ja","Nein"))</f>
        <v/>
      </c>
      <c r="BG217" s="48" t="str">
        <f aca="false">IF(A217="","",IF((IF(OR(B217="",C217="",F217="",N217="",Q217="",AB217="",AC217="",AD217="",AU217=""),"Pflichtfelder fehlen; ","")&amp;IF(AND(ISNUMBER(AC217),AC217&gt;P_MaxWoche),"Wochenstunden &gt; Prüfgrenze; ","")&amp;IF(AND(BF217="Ja",ISNUMBER(AC217),AC217&gt;P_MaxWocheJugend),"Jugendlicher &gt; 40 h/Woche; ","")&amp;IF(AND(ISNUMBER(BD217),BD217&lt;P_Mindestlohn,Q217&lt;&gt;"Auszubildende/r",Q217&lt;&gt;"Praktikant/in"),"Mindestlohn unterschritten?; ","")&amp;IF(AND(Q217="Minijob (geringfügig)",ISNUMBER(BB217),BB217&gt;P_Minijob),"Minijob-Grenze überschritten; ","")&amp;IF(AND(R217="Ja",S217=""),"Befristung ohne Enddatum; ","")&amp;IF(AND(ISNUMBER(O217),ISNUMBER(N217),O217&lt;N217),"Austritt vor Eintritt; ","")&amp;IF(AND(ISNUMBER(AU217),ISNUMBER(AV217),AU217&lt;AV217),"Urlaub unter gesetzl. Minimum; ","")&amp;IF(AND(ISNUMBER(AC217),ISNUMBER(AF217),ABS(N(AC217)-N(AF217))&gt;0.01),"Wochenstd. weichen vom Modell ab; ","")&amp;IF(AND(AI217="Ja",OR(AJ217="",AK217="")),"Kontogrenzen fehlen; ","")&amp;IF(AND(AL217="Mit Gehalt abgegolten (Pauschale)",AM217=""),"Überstunden-Pauschale fehlt; ",""))="","OK",IF(OR(B217="",C217="",F217="",N217="",Q217="",AB217="",AC217="",AD217="",AU217=""),"Pflichtfelder fehlen; ","")&amp;IF(AND(ISNUMBER(AC217),AC217&gt;P_MaxWoche),"Wochenstunden &gt; Prüfgrenze; ","")&amp;IF(AND(BF217="Ja",ISNUMBER(AC217),AC217&gt;P_MaxWocheJugend),"Jugendlicher &gt; 40 h/Woche; ","")&amp;IF(AND(ISNUMBER(BD217),BD217&lt;P_Mindestlohn,Q217&lt;&gt;"Auszubildende/r",Q217&lt;&gt;"Praktikant/in"),"Mindestlohn unterschritten?; ","")&amp;IF(AND(Q217="Minijob (geringfügig)",ISNUMBER(BB217),BB217&gt;P_Minijob),"Minijob-Grenze überschritten; ","")&amp;IF(AND(R217="Ja",S217=""),"Befristung ohne Enddatum; ","")&amp;IF(AND(ISNUMBER(O217),ISNUMBER(N217),O217&lt;N217),"Austritt vor Eintritt; ","")&amp;IF(AND(ISNUMBER(AU217),ISNUMBER(AV217),AU217&lt;AV217),"Urlaub unter gesetzl. Minimum; ","")&amp;IF(AND(ISNUMBER(AC217),ISNUMBER(AF217),ABS(N(AC217)-N(AF217))&gt;0.01),"Wochenstd. weichen vom Modell ab; ","")&amp;IF(AND(AI217="Ja",OR(AJ217="",AK217="")),"Kontogrenzen fehlen; ","")&amp;IF(AND(AL217="Mit Gehalt abgegolten (Pauschale)",AM217=""),"Überstunden-Pauschale fehlt; ","")))</f>
        <v/>
      </c>
      <c r="BH217" s="38"/>
    </row>
    <row r="218" customFormat="false" ht="15" hidden="false" customHeight="false" outlineLevel="0" collapsed="false">
      <c r="A218" s="37"/>
      <c r="B218" s="38"/>
      <c r="C218" s="38"/>
      <c r="D218" s="38"/>
      <c r="E218" s="38"/>
      <c r="F218" s="39"/>
      <c r="G218" s="38"/>
      <c r="H218" s="38"/>
      <c r="I218" s="37"/>
      <c r="J218" s="38"/>
      <c r="K218" s="38"/>
      <c r="L218" s="38"/>
      <c r="M218" s="38"/>
      <c r="N218" s="39"/>
      <c r="O218" s="39"/>
      <c r="P218" s="38"/>
      <c r="Q218" s="38"/>
      <c r="R218" s="38"/>
      <c r="S218" s="39"/>
      <c r="T218" s="39"/>
      <c r="U218" s="38"/>
      <c r="V218" s="38"/>
      <c r="W218" s="37"/>
      <c r="X218" s="38"/>
      <c r="Y218" s="38"/>
      <c r="Z218" s="37"/>
      <c r="AA218" s="38"/>
      <c r="AB218" s="38"/>
      <c r="AC218" s="40"/>
      <c r="AD218" s="41"/>
      <c r="AE218" s="42" t="str">
        <f aca="false">IF(OR(A218="",NOT(ISNUMBER(AC218)),NOT(ISNUMBER(AD218))),"",IF(AD218&gt;0,AC218/AD218,""))</f>
        <v/>
      </c>
      <c r="AF218" s="42" t="str">
        <f aca="false">IF(OR(A218="",AB218=""),"",IFERROR(INDEX(Arbeitszeitmodelle!$C$5:$C$34,MATCH(AB218,Arbeitszeitmodelle!$A$5:$A$34,0)),""))</f>
        <v/>
      </c>
      <c r="AG218" s="38"/>
      <c r="AH218" s="38"/>
      <c r="AI218" s="38"/>
      <c r="AJ218" s="41"/>
      <c r="AK218" s="41"/>
      <c r="AL218" s="38"/>
      <c r="AM218" s="41"/>
      <c r="AN218" s="38"/>
      <c r="AO218" s="38"/>
      <c r="AP218" s="38"/>
      <c r="AQ218" s="38"/>
      <c r="AR218" s="41"/>
      <c r="AS218" s="40"/>
      <c r="AT218" s="39"/>
      <c r="AU218" s="41"/>
      <c r="AV218" s="43" t="str">
        <f aca="false">IF(OR(A218="",NOT(ISNUMBER(AD218))),"",P_MinUrlaubWerktage/6*AD218)</f>
        <v/>
      </c>
      <c r="AW218" s="43" t="str">
        <f aca="false">IF(A218="","",IF(M218="Ja",P_ZusatzSB*IF(ISNUMBER(AD218),AD218,5)/5,0))</f>
        <v/>
      </c>
      <c r="AX218" s="41"/>
      <c r="AY218" s="39"/>
      <c r="AZ218" s="43" t="str">
        <f aca="false">IF(OR(A218="",NOT(ISNUMBER(AU218))),"",SUM(AU218,AW218,AX218))</f>
        <v/>
      </c>
      <c r="BA218" s="38"/>
      <c r="BB218" s="44"/>
      <c r="BC218" s="44"/>
      <c r="BD218" s="45" t="str">
        <f aca="false">IF(A218="","",IF(BA218="Stundenlohn",IF(ISNUMBER(BC218),BC218,""),IF(AND(ISNUMBER(BB218),ISNUMBER(AC218)),IF(AC218&gt;0,BB218*12/(AC218*52),""),"")))</f>
        <v/>
      </c>
      <c r="BE218" s="46" t="str">
        <f aca="false">IF(OR(A218="",NOT(ISNUMBER(F218))),"",IFERROR(DATEDIF(F218,P_Stichtag,"Y"),""))</f>
        <v/>
      </c>
      <c r="BF218" s="47" t="str">
        <f aca="false">IF(OR(A218="",NOT(ISNUMBER(BE218))),"",IF(BE218&lt;18,"Ja","Nein"))</f>
        <v/>
      </c>
      <c r="BG218" s="48" t="str">
        <f aca="false">IF(A218="","",IF((IF(OR(B218="",C218="",F218="",N218="",Q218="",AB218="",AC218="",AD218="",AU218=""),"Pflichtfelder fehlen; ","")&amp;IF(AND(ISNUMBER(AC218),AC218&gt;P_MaxWoche),"Wochenstunden &gt; Prüfgrenze; ","")&amp;IF(AND(BF218="Ja",ISNUMBER(AC218),AC218&gt;P_MaxWocheJugend),"Jugendlicher &gt; 40 h/Woche; ","")&amp;IF(AND(ISNUMBER(BD218),BD218&lt;P_Mindestlohn,Q218&lt;&gt;"Auszubildende/r",Q218&lt;&gt;"Praktikant/in"),"Mindestlohn unterschritten?; ","")&amp;IF(AND(Q218="Minijob (geringfügig)",ISNUMBER(BB218),BB218&gt;P_Minijob),"Minijob-Grenze überschritten; ","")&amp;IF(AND(R218="Ja",S218=""),"Befristung ohne Enddatum; ","")&amp;IF(AND(ISNUMBER(O218),ISNUMBER(N218),O218&lt;N218),"Austritt vor Eintritt; ","")&amp;IF(AND(ISNUMBER(AU218),ISNUMBER(AV218),AU218&lt;AV218),"Urlaub unter gesetzl. Minimum; ","")&amp;IF(AND(ISNUMBER(AC218),ISNUMBER(AF218),ABS(N(AC218)-N(AF218))&gt;0.01),"Wochenstd. weichen vom Modell ab; ","")&amp;IF(AND(AI218="Ja",OR(AJ218="",AK218="")),"Kontogrenzen fehlen; ","")&amp;IF(AND(AL218="Mit Gehalt abgegolten (Pauschale)",AM218=""),"Überstunden-Pauschale fehlt; ",""))="","OK",IF(OR(B218="",C218="",F218="",N218="",Q218="",AB218="",AC218="",AD218="",AU218=""),"Pflichtfelder fehlen; ","")&amp;IF(AND(ISNUMBER(AC218),AC218&gt;P_MaxWoche),"Wochenstunden &gt; Prüfgrenze; ","")&amp;IF(AND(BF218="Ja",ISNUMBER(AC218),AC218&gt;P_MaxWocheJugend),"Jugendlicher &gt; 40 h/Woche; ","")&amp;IF(AND(ISNUMBER(BD218),BD218&lt;P_Mindestlohn,Q218&lt;&gt;"Auszubildende/r",Q218&lt;&gt;"Praktikant/in"),"Mindestlohn unterschritten?; ","")&amp;IF(AND(Q218="Minijob (geringfügig)",ISNUMBER(BB218),BB218&gt;P_Minijob),"Minijob-Grenze überschritten; ","")&amp;IF(AND(R218="Ja",S218=""),"Befristung ohne Enddatum; ","")&amp;IF(AND(ISNUMBER(O218),ISNUMBER(N218),O218&lt;N218),"Austritt vor Eintritt; ","")&amp;IF(AND(ISNUMBER(AU218),ISNUMBER(AV218),AU218&lt;AV218),"Urlaub unter gesetzl. Minimum; ","")&amp;IF(AND(ISNUMBER(AC218),ISNUMBER(AF218),ABS(N(AC218)-N(AF218))&gt;0.01),"Wochenstd. weichen vom Modell ab; ","")&amp;IF(AND(AI218="Ja",OR(AJ218="",AK218="")),"Kontogrenzen fehlen; ","")&amp;IF(AND(AL218="Mit Gehalt abgegolten (Pauschale)",AM218=""),"Überstunden-Pauschale fehlt; ","")))</f>
        <v/>
      </c>
      <c r="BH218" s="38"/>
    </row>
    <row r="219" customFormat="false" ht="15" hidden="false" customHeight="false" outlineLevel="0" collapsed="false">
      <c r="A219" s="37"/>
      <c r="B219" s="38"/>
      <c r="C219" s="38"/>
      <c r="D219" s="38"/>
      <c r="E219" s="38"/>
      <c r="F219" s="39"/>
      <c r="G219" s="38"/>
      <c r="H219" s="38"/>
      <c r="I219" s="37"/>
      <c r="J219" s="38"/>
      <c r="K219" s="38"/>
      <c r="L219" s="38"/>
      <c r="M219" s="38"/>
      <c r="N219" s="39"/>
      <c r="O219" s="39"/>
      <c r="P219" s="38"/>
      <c r="Q219" s="38"/>
      <c r="R219" s="38"/>
      <c r="S219" s="39"/>
      <c r="T219" s="39"/>
      <c r="U219" s="38"/>
      <c r="V219" s="38"/>
      <c r="W219" s="37"/>
      <c r="X219" s="38"/>
      <c r="Y219" s="38"/>
      <c r="Z219" s="37"/>
      <c r="AA219" s="38"/>
      <c r="AB219" s="38"/>
      <c r="AC219" s="40"/>
      <c r="AD219" s="41"/>
      <c r="AE219" s="42" t="str">
        <f aca="false">IF(OR(A219="",NOT(ISNUMBER(AC219)),NOT(ISNUMBER(AD219))),"",IF(AD219&gt;0,AC219/AD219,""))</f>
        <v/>
      </c>
      <c r="AF219" s="42" t="str">
        <f aca="false">IF(OR(A219="",AB219=""),"",IFERROR(INDEX(Arbeitszeitmodelle!$C$5:$C$34,MATCH(AB219,Arbeitszeitmodelle!$A$5:$A$34,0)),""))</f>
        <v/>
      </c>
      <c r="AG219" s="38"/>
      <c r="AH219" s="38"/>
      <c r="AI219" s="38"/>
      <c r="AJ219" s="41"/>
      <c r="AK219" s="41"/>
      <c r="AL219" s="38"/>
      <c r="AM219" s="41"/>
      <c r="AN219" s="38"/>
      <c r="AO219" s="38"/>
      <c r="AP219" s="38"/>
      <c r="AQ219" s="38"/>
      <c r="AR219" s="41"/>
      <c r="AS219" s="40"/>
      <c r="AT219" s="39"/>
      <c r="AU219" s="41"/>
      <c r="AV219" s="43" t="str">
        <f aca="false">IF(OR(A219="",NOT(ISNUMBER(AD219))),"",P_MinUrlaubWerktage/6*AD219)</f>
        <v/>
      </c>
      <c r="AW219" s="43" t="str">
        <f aca="false">IF(A219="","",IF(M219="Ja",P_ZusatzSB*IF(ISNUMBER(AD219),AD219,5)/5,0))</f>
        <v/>
      </c>
      <c r="AX219" s="41"/>
      <c r="AY219" s="39"/>
      <c r="AZ219" s="43" t="str">
        <f aca="false">IF(OR(A219="",NOT(ISNUMBER(AU219))),"",SUM(AU219,AW219,AX219))</f>
        <v/>
      </c>
      <c r="BA219" s="38"/>
      <c r="BB219" s="44"/>
      <c r="BC219" s="44"/>
      <c r="BD219" s="45" t="str">
        <f aca="false">IF(A219="","",IF(BA219="Stundenlohn",IF(ISNUMBER(BC219),BC219,""),IF(AND(ISNUMBER(BB219),ISNUMBER(AC219)),IF(AC219&gt;0,BB219*12/(AC219*52),""),"")))</f>
        <v/>
      </c>
      <c r="BE219" s="46" t="str">
        <f aca="false">IF(OR(A219="",NOT(ISNUMBER(F219))),"",IFERROR(DATEDIF(F219,P_Stichtag,"Y"),""))</f>
        <v/>
      </c>
      <c r="BF219" s="47" t="str">
        <f aca="false">IF(OR(A219="",NOT(ISNUMBER(BE219))),"",IF(BE219&lt;18,"Ja","Nein"))</f>
        <v/>
      </c>
      <c r="BG219" s="48" t="str">
        <f aca="false">IF(A219="","",IF((IF(OR(B219="",C219="",F219="",N219="",Q219="",AB219="",AC219="",AD219="",AU219=""),"Pflichtfelder fehlen; ","")&amp;IF(AND(ISNUMBER(AC219),AC219&gt;P_MaxWoche),"Wochenstunden &gt; Prüfgrenze; ","")&amp;IF(AND(BF219="Ja",ISNUMBER(AC219),AC219&gt;P_MaxWocheJugend),"Jugendlicher &gt; 40 h/Woche; ","")&amp;IF(AND(ISNUMBER(BD219),BD219&lt;P_Mindestlohn,Q219&lt;&gt;"Auszubildende/r",Q219&lt;&gt;"Praktikant/in"),"Mindestlohn unterschritten?; ","")&amp;IF(AND(Q219="Minijob (geringfügig)",ISNUMBER(BB219),BB219&gt;P_Minijob),"Minijob-Grenze überschritten; ","")&amp;IF(AND(R219="Ja",S219=""),"Befristung ohne Enddatum; ","")&amp;IF(AND(ISNUMBER(O219),ISNUMBER(N219),O219&lt;N219),"Austritt vor Eintritt; ","")&amp;IF(AND(ISNUMBER(AU219),ISNUMBER(AV219),AU219&lt;AV219),"Urlaub unter gesetzl. Minimum; ","")&amp;IF(AND(ISNUMBER(AC219),ISNUMBER(AF219),ABS(N(AC219)-N(AF219))&gt;0.01),"Wochenstd. weichen vom Modell ab; ","")&amp;IF(AND(AI219="Ja",OR(AJ219="",AK219="")),"Kontogrenzen fehlen; ","")&amp;IF(AND(AL219="Mit Gehalt abgegolten (Pauschale)",AM219=""),"Überstunden-Pauschale fehlt; ",""))="","OK",IF(OR(B219="",C219="",F219="",N219="",Q219="",AB219="",AC219="",AD219="",AU219=""),"Pflichtfelder fehlen; ","")&amp;IF(AND(ISNUMBER(AC219),AC219&gt;P_MaxWoche),"Wochenstunden &gt; Prüfgrenze; ","")&amp;IF(AND(BF219="Ja",ISNUMBER(AC219),AC219&gt;P_MaxWocheJugend),"Jugendlicher &gt; 40 h/Woche; ","")&amp;IF(AND(ISNUMBER(BD219),BD219&lt;P_Mindestlohn,Q219&lt;&gt;"Auszubildende/r",Q219&lt;&gt;"Praktikant/in"),"Mindestlohn unterschritten?; ","")&amp;IF(AND(Q219="Minijob (geringfügig)",ISNUMBER(BB219),BB219&gt;P_Minijob),"Minijob-Grenze überschritten; ","")&amp;IF(AND(R219="Ja",S219=""),"Befristung ohne Enddatum; ","")&amp;IF(AND(ISNUMBER(O219),ISNUMBER(N219),O219&lt;N219),"Austritt vor Eintritt; ","")&amp;IF(AND(ISNUMBER(AU219),ISNUMBER(AV219),AU219&lt;AV219),"Urlaub unter gesetzl. Minimum; ","")&amp;IF(AND(ISNUMBER(AC219),ISNUMBER(AF219),ABS(N(AC219)-N(AF219))&gt;0.01),"Wochenstd. weichen vom Modell ab; ","")&amp;IF(AND(AI219="Ja",OR(AJ219="",AK219="")),"Kontogrenzen fehlen; ","")&amp;IF(AND(AL219="Mit Gehalt abgegolten (Pauschale)",AM219=""),"Überstunden-Pauschale fehlt; ","")))</f>
        <v/>
      </c>
      <c r="BH219" s="38"/>
    </row>
    <row r="220" customFormat="false" ht="15" hidden="false" customHeight="false" outlineLevel="0" collapsed="false">
      <c r="A220" s="37"/>
      <c r="B220" s="38"/>
      <c r="C220" s="38"/>
      <c r="D220" s="38"/>
      <c r="E220" s="38"/>
      <c r="F220" s="39"/>
      <c r="G220" s="38"/>
      <c r="H220" s="38"/>
      <c r="I220" s="37"/>
      <c r="J220" s="38"/>
      <c r="K220" s="38"/>
      <c r="L220" s="38"/>
      <c r="M220" s="38"/>
      <c r="N220" s="39"/>
      <c r="O220" s="39"/>
      <c r="P220" s="38"/>
      <c r="Q220" s="38"/>
      <c r="R220" s="38"/>
      <c r="S220" s="39"/>
      <c r="T220" s="39"/>
      <c r="U220" s="38"/>
      <c r="V220" s="38"/>
      <c r="W220" s="37"/>
      <c r="X220" s="38"/>
      <c r="Y220" s="38"/>
      <c r="Z220" s="37"/>
      <c r="AA220" s="38"/>
      <c r="AB220" s="38"/>
      <c r="AC220" s="40"/>
      <c r="AD220" s="41"/>
      <c r="AE220" s="42" t="str">
        <f aca="false">IF(OR(A220="",NOT(ISNUMBER(AC220)),NOT(ISNUMBER(AD220))),"",IF(AD220&gt;0,AC220/AD220,""))</f>
        <v/>
      </c>
      <c r="AF220" s="42" t="str">
        <f aca="false">IF(OR(A220="",AB220=""),"",IFERROR(INDEX(Arbeitszeitmodelle!$C$5:$C$34,MATCH(AB220,Arbeitszeitmodelle!$A$5:$A$34,0)),""))</f>
        <v/>
      </c>
      <c r="AG220" s="38"/>
      <c r="AH220" s="38"/>
      <c r="AI220" s="38"/>
      <c r="AJ220" s="41"/>
      <c r="AK220" s="41"/>
      <c r="AL220" s="38"/>
      <c r="AM220" s="41"/>
      <c r="AN220" s="38"/>
      <c r="AO220" s="38"/>
      <c r="AP220" s="38"/>
      <c r="AQ220" s="38"/>
      <c r="AR220" s="41"/>
      <c r="AS220" s="40"/>
      <c r="AT220" s="39"/>
      <c r="AU220" s="41"/>
      <c r="AV220" s="43" t="str">
        <f aca="false">IF(OR(A220="",NOT(ISNUMBER(AD220))),"",P_MinUrlaubWerktage/6*AD220)</f>
        <v/>
      </c>
      <c r="AW220" s="43" t="str">
        <f aca="false">IF(A220="","",IF(M220="Ja",P_ZusatzSB*IF(ISNUMBER(AD220),AD220,5)/5,0))</f>
        <v/>
      </c>
      <c r="AX220" s="41"/>
      <c r="AY220" s="39"/>
      <c r="AZ220" s="43" t="str">
        <f aca="false">IF(OR(A220="",NOT(ISNUMBER(AU220))),"",SUM(AU220,AW220,AX220))</f>
        <v/>
      </c>
      <c r="BA220" s="38"/>
      <c r="BB220" s="44"/>
      <c r="BC220" s="44"/>
      <c r="BD220" s="45" t="str">
        <f aca="false">IF(A220="","",IF(BA220="Stundenlohn",IF(ISNUMBER(BC220),BC220,""),IF(AND(ISNUMBER(BB220),ISNUMBER(AC220)),IF(AC220&gt;0,BB220*12/(AC220*52),""),"")))</f>
        <v/>
      </c>
      <c r="BE220" s="46" t="str">
        <f aca="false">IF(OR(A220="",NOT(ISNUMBER(F220))),"",IFERROR(DATEDIF(F220,P_Stichtag,"Y"),""))</f>
        <v/>
      </c>
      <c r="BF220" s="47" t="str">
        <f aca="false">IF(OR(A220="",NOT(ISNUMBER(BE220))),"",IF(BE220&lt;18,"Ja","Nein"))</f>
        <v/>
      </c>
      <c r="BG220" s="48" t="str">
        <f aca="false">IF(A220="","",IF((IF(OR(B220="",C220="",F220="",N220="",Q220="",AB220="",AC220="",AD220="",AU220=""),"Pflichtfelder fehlen; ","")&amp;IF(AND(ISNUMBER(AC220),AC220&gt;P_MaxWoche),"Wochenstunden &gt; Prüfgrenze; ","")&amp;IF(AND(BF220="Ja",ISNUMBER(AC220),AC220&gt;P_MaxWocheJugend),"Jugendlicher &gt; 40 h/Woche; ","")&amp;IF(AND(ISNUMBER(BD220),BD220&lt;P_Mindestlohn,Q220&lt;&gt;"Auszubildende/r",Q220&lt;&gt;"Praktikant/in"),"Mindestlohn unterschritten?; ","")&amp;IF(AND(Q220="Minijob (geringfügig)",ISNUMBER(BB220),BB220&gt;P_Minijob),"Minijob-Grenze überschritten; ","")&amp;IF(AND(R220="Ja",S220=""),"Befristung ohne Enddatum; ","")&amp;IF(AND(ISNUMBER(O220),ISNUMBER(N220),O220&lt;N220),"Austritt vor Eintritt; ","")&amp;IF(AND(ISNUMBER(AU220),ISNUMBER(AV220),AU220&lt;AV220),"Urlaub unter gesetzl. Minimum; ","")&amp;IF(AND(ISNUMBER(AC220),ISNUMBER(AF220),ABS(N(AC220)-N(AF220))&gt;0.01),"Wochenstd. weichen vom Modell ab; ","")&amp;IF(AND(AI220="Ja",OR(AJ220="",AK220="")),"Kontogrenzen fehlen; ","")&amp;IF(AND(AL220="Mit Gehalt abgegolten (Pauschale)",AM220=""),"Überstunden-Pauschale fehlt; ",""))="","OK",IF(OR(B220="",C220="",F220="",N220="",Q220="",AB220="",AC220="",AD220="",AU220=""),"Pflichtfelder fehlen; ","")&amp;IF(AND(ISNUMBER(AC220),AC220&gt;P_MaxWoche),"Wochenstunden &gt; Prüfgrenze; ","")&amp;IF(AND(BF220="Ja",ISNUMBER(AC220),AC220&gt;P_MaxWocheJugend),"Jugendlicher &gt; 40 h/Woche; ","")&amp;IF(AND(ISNUMBER(BD220),BD220&lt;P_Mindestlohn,Q220&lt;&gt;"Auszubildende/r",Q220&lt;&gt;"Praktikant/in"),"Mindestlohn unterschritten?; ","")&amp;IF(AND(Q220="Minijob (geringfügig)",ISNUMBER(BB220),BB220&gt;P_Minijob),"Minijob-Grenze überschritten; ","")&amp;IF(AND(R220="Ja",S220=""),"Befristung ohne Enddatum; ","")&amp;IF(AND(ISNUMBER(O220),ISNUMBER(N220),O220&lt;N220),"Austritt vor Eintritt; ","")&amp;IF(AND(ISNUMBER(AU220),ISNUMBER(AV220),AU220&lt;AV220),"Urlaub unter gesetzl. Minimum; ","")&amp;IF(AND(ISNUMBER(AC220),ISNUMBER(AF220),ABS(N(AC220)-N(AF220))&gt;0.01),"Wochenstd. weichen vom Modell ab; ","")&amp;IF(AND(AI220="Ja",OR(AJ220="",AK220="")),"Kontogrenzen fehlen; ","")&amp;IF(AND(AL220="Mit Gehalt abgegolten (Pauschale)",AM220=""),"Überstunden-Pauschale fehlt; ","")))</f>
        <v/>
      </c>
      <c r="BH220" s="38"/>
    </row>
    <row r="221" customFormat="false" ht="15" hidden="false" customHeight="false" outlineLevel="0" collapsed="false">
      <c r="A221" s="37"/>
      <c r="B221" s="38"/>
      <c r="C221" s="38"/>
      <c r="D221" s="38"/>
      <c r="E221" s="38"/>
      <c r="F221" s="39"/>
      <c r="G221" s="38"/>
      <c r="H221" s="38"/>
      <c r="I221" s="37"/>
      <c r="J221" s="38"/>
      <c r="K221" s="38"/>
      <c r="L221" s="38"/>
      <c r="M221" s="38"/>
      <c r="N221" s="39"/>
      <c r="O221" s="39"/>
      <c r="P221" s="38"/>
      <c r="Q221" s="38"/>
      <c r="R221" s="38"/>
      <c r="S221" s="39"/>
      <c r="T221" s="39"/>
      <c r="U221" s="38"/>
      <c r="V221" s="38"/>
      <c r="W221" s="37"/>
      <c r="X221" s="38"/>
      <c r="Y221" s="38"/>
      <c r="Z221" s="37"/>
      <c r="AA221" s="38"/>
      <c r="AB221" s="38"/>
      <c r="AC221" s="40"/>
      <c r="AD221" s="41"/>
      <c r="AE221" s="42" t="str">
        <f aca="false">IF(OR(A221="",NOT(ISNUMBER(AC221)),NOT(ISNUMBER(AD221))),"",IF(AD221&gt;0,AC221/AD221,""))</f>
        <v/>
      </c>
      <c r="AF221" s="42" t="str">
        <f aca="false">IF(OR(A221="",AB221=""),"",IFERROR(INDEX(Arbeitszeitmodelle!$C$5:$C$34,MATCH(AB221,Arbeitszeitmodelle!$A$5:$A$34,0)),""))</f>
        <v/>
      </c>
      <c r="AG221" s="38"/>
      <c r="AH221" s="38"/>
      <c r="AI221" s="38"/>
      <c r="AJ221" s="41"/>
      <c r="AK221" s="41"/>
      <c r="AL221" s="38"/>
      <c r="AM221" s="41"/>
      <c r="AN221" s="38"/>
      <c r="AO221" s="38"/>
      <c r="AP221" s="38"/>
      <c r="AQ221" s="38"/>
      <c r="AR221" s="41"/>
      <c r="AS221" s="40"/>
      <c r="AT221" s="39"/>
      <c r="AU221" s="41"/>
      <c r="AV221" s="43" t="str">
        <f aca="false">IF(OR(A221="",NOT(ISNUMBER(AD221))),"",P_MinUrlaubWerktage/6*AD221)</f>
        <v/>
      </c>
      <c r="AW221" s="43" t="str">
        <f aca="false">IF(A221="","",IF(M221="Ja",P_ZusatzSB*IF(ISNUMBER(AD221),AD221,5)/5,0))</f>
        <v/>
      </c>
      <c r="AX221" s="41"/>
      <c r="AY221" s="39"/>
      <c r="AZ221" s="43" t="str">
        <f aca="false">IF(OR(A221="",NOT(ISNUMBER(AU221))),"",SUM(AU221,AW221,AX221))</f>
        <v/>
      </c>
      <c r="BA221" s="38"/>
      <c r="BB221" s="44"/>
      <c r="BC221" s="44"/>
      <c r="BD221" s="45" t="str">
        <f aca="false">IF(A221="","",IF(BA221="Stundenlohn",IF(ISNUMBER(BC221),BC221,""),IF(AND(ISNUMBER(BB221),ISNUMBER(AC221)),IF(AC221&gt;0,BB221*12/(AC221*52),""),"")))</f>
        <v/>
      </c>
      <c r="BE221" s="46" t="str">
        <f aca="false">IF(OR(A221="",NOT(ISNUMBER(F221))),"",IFERROR(DATEDIF(F221,P_Stichtag,"Y"),""))</f>
        <v/>
      </c>
      <c r="BF221" s="47" t="str">
        <f aca="false">IF(OR(A221="",NOT(ISNUMBER(BE221))),"",IF(BE221&lt;18,"Ja","Nein"))</f>
        <v/>
      </c>
      <c r="BG221" s="48" t="str">
        <f aca="false">IF(A221="","",IF((IF(OR(B221="",C221="",F221="",N221="",Q221="",AB221="",AC221="",AD221="",AU221=""),"Pflichtfelder fehlen; ","")&amp;IF(AND(ISNUMBER(AC221),AC221&gt;P_MaxWoche),"Wochenstunden &gt; Prüfgrenze; ","")&amp;IF(AND(BF221="Ja",ISNUMBER(AC221),AC221&gt;P_MaxWocheJugend),"Jugendlicher &gt; 40 h/Woche; ","")&amp;IF(AND(ISNUMBER(BD221),BD221&lt;P_Mindestlohn,Q221&lt;&gt;"Auszubildende/r",Q221&lt;&gt;"Praktikant/in"),"Mindestlohn unterschritten?; ","")&amp;IF(AND(Q221="Minijob (geringfügig)",ISNUMBER(BB221),BB221&gt;P_Minijob),"Minijob-Grenze überschritten; ","")&amp;IF(AND(R221="Ja",S221=""),"Befristung ohne Enddatum; ","")&amp;IF(AND(ISNUMBER(O221),ISNUMBER(N221),O221&lt;N221),"Austritt vor Eintritt; ","")&amp;IF(AND(ISNUMBER(AU221),ISNUMBER(AV221),AU221&lt;AV221),"Urlaub unter gesetzl. Minimum; ","")&amp;IF(AND(ISNUMBER(AC221),ISNUMBER(AF221),ABS(N(AC221)-N(AF221))&gt;0.01),"Wochenstd. weichen vom Modell ab; ","")&amp;IF(AND(AI221="Ja",OR(AJ221="",AK221="")),"Kontogrenzen fehlen; ","")&amp;IF(AND(AL221="Mit Gehalt abgegolten (Pauschale)",AM221=""),"Überstunden-Pauschale fehlt; ",""))="","OK",IF(OR(B221="",C221="",F221="",N221="",Q221="",AB221="",AC221="",AD221="",AU221=""),"Pflichtfelder fehlen; ","")&amp;IF(AND(ISNUMBER(AC221),AC221&gt;P_MaxWoche),"Wochenstunden &gt; Prüfgrenze; ","")&amp;IF(AND(BF221="Ja",ISNUMBER(AC221),AC221&gt;P_MaxWocheJugend),"Jugendlicher &gt; 40 h/Woche; ","")&amp;IF(AND(ISNUMBER(BD221),BD221&lt;P_Mindestlohn,Q221&lt;&gt;"Auszubildende/r",Q221&lt;&gt;"Praktikant/in"),"Mindestlohn unterschritten?; ","")&amp;IF(AND(Q221="Minijob (geringfügig)",ISNUMBER(BB221),BB221&gt;P_Minijob),"Minijob-Grenze überschritten; ","")&amp;IF(AND(R221="Ja",S221=""),"Befristung ohne Enddatum; ","")&amp;IF(AND(ISNUMBER(O221),ISNUMBER(N221),O221&lt;N221),"Austritt vor Eintritt; ","")&amp;IF(AND(ISNUMBER(AU221),ISNUMBER(AV221),AU221&lt;AV221),"Urlaub unter gesetzl. Minimum; ","")&amp;IF(AND(ISNUMBER(AC221),ISNUMBER(AF221),ABS(N(AC221)-N(AF221))&gt;0.01),"Wochenstd. weichen vom Modell ab; ","")&amp;IF(AND(AI221="Ja",OR(AJ221="",AK221="")),"Kontogrenzen fehlen; ","")&amp;IF(AND(AL221="Mit Gehalt abgegolten (Pauschale)",AM221=""),"Überstunden-Pauschale fehlt; ","")))</f>
        <v/>
      </c>
      <c r="BH221" s="38"/>
    </row>
    <row r="222" customFormat="false" ht="15" hidden="false" customHeight="false" outlineLevel="0" collapsed="false">
      <c r="A222" s="37"/>
      <c r="B222" s="38"/>
      <c r="C222" s="38"/>
      <c r="D222" s="38"/>
      <c r="E222" s="38"/>
      <c r="F222" s="39"/>
      <c r="G222" s="38"/>
      <c r="H222" s="38"/>
      <c r="I222" s="37"/>
      <c r="J222" s="38"/>
      <c r="K222" s="38"/>
      <c r="L222" s="38"/>
      <c r="M222" s="38"/>
      <c r="N222" s="39"/>
      <c r="O222" s="39"/>
      <c r="P222" s="38"/>
      <c r="Q222" s="38"/>
      <c r="R222" s="38"/>
      <c r="S222" s="39"/>
      <c r="T222" s="39"/>
      <c r="U222" s="38"/>
      <c r="V222" s="38"/>
      <c r="W222" s="37"/>
      <c r="X222" s="38"/>
      <c r="Y222" s="38"/>
      <c r="Z222" s="37"/>
      <c r="AA222" s="38"/>
      <c r="AB222" s="38"/>
      <c r="AC222" s="40"/>
      <c r="AD222" s="41"/>
      <c r="AE222" s="42" t="str">
        <f aca="false">IF(OR(A222="",NOT(ISNUMBER(AC222)),NOT(ISNUMBER(AD222))),"",IF(AD222&gt;0,AC222/AD222,""))</f>
        <v/>
      </c>
      <c r="AF222" s="42" t="str">
        <f aca="false">IF(OR(A222="",AB222=""),"",IFERROR(INDEX(Arbeitszeitmodelle!$C$5:$C$34,MATCH(AB222,Arbeitszeitmodelle!$A$5:$A$34,0)),""))</f>
        <v/>
      </c>
      <c r="AG222" s="38"/>
      <c r="AH222" s="38"/>
      <c r="AI222" s="38"/>
      <c r="AJ222" s="41"/>
      <c r="AK222" s="41"/>
      <c r="AL222" s="38"/>
      <c r="AM222" s="41"/>
      <c r="AN222" s="38"/>
      <c r="AO222" s="38"/>
      <c r="AP222" s="38"/>
      <c r="AQ222" s="38"/>
      <c r="AR222" s="41"/>
      <c r="AS222" s="40"/>
      <c r="AT222" s="39"/>
      <c r="AU222" s="41"/>
      <c r="AV222" s="43" t="str">
        <f aca="false">IF(OR(A222="",NOT(ISNUMBER(AD222))),"",P_MinUrlaubWerktage/6*AD222)</f>
        <v/>
      </c>
      <c r="AW222" s="43" t="str">
        <f aca="false">IF(A222="","",IF(M222="Ja",P_ZusatzSB*IF(ISNUMBER(AD222),AD222,5)/5,0))</f>
        <v/>
      </c>
      <c r="AX222" s="41"/>
      <c r="AY222" s="39"/>
      <c r="AZ222" s="43" t="str">
        <f aca="false">IF(OR(A222="",NOT(ISNUMBER(AU222))),"",SUM(AU222,AW222,AX222))</f>
        <v/>
      </c>
      <c r="BA222" s="38"/>
      <c r="BB222" s="44"/>
      <c r="BC222" s="44"/>
      <c r="BD222" s="45" t="str">
        <f aca="false">IF(A222="","",IF(BA222="Stundenlohn",IF(ISNUMBER(BC222),BC222,""),IF(AND(ISNUMBER(BB222),ISNUMBER(AC222)),IF(AC222&gt;0,BB222*12/(AC222*52),""),"")))</f>
        <v/>
      </c>
      <c r="BE222" s="46" t="str">
        <f aca="false">IF(OR(A222="",NOT(ISNUMBER(F222))),"",IFERROR(DATEDIF(F222,P_Stichtag,"Y"),""))</f>
        <v/>
      </c>
      <c r="BF222" s="47" t="str">
        <f aca="false">IF(OR(A222="",NOT(ISNUMBER(BE222))),"",IF(BE222&lt;18,"Ja","Nein"))</f>
        <v/>
      </c>
      <c r="BG222" s="48" t="str">
        <f aca="false">IF(A222="","",IF((IF(OR(B222="",C222="",F222="",N222="",Q222="",AB222="",AC222="",AD222="",AU222=""),"Pflichtfelder fehlen; ","")&amp;IF(AND(ISNUMBER(AC222),AC222&gt;P_MaxWoche),"Wochenstunden &gt; Prüfgrenze; ","")&amp;IF(AND(BF222="Ja",ISNUMBER(AC222),AC222&gt;P_MaxWocheJugend),"Jugendlicher &gt; 40 h/Woche; ","")&amp;IF(AND(ISNUMBER(BD222),BD222&lt;P_Mindestlohn,Q222&lt;&gt;"Auszubildende/r",Q222&lt;&gt;"Praktikant/in"),"Mindestlohn unterschritten?; ","")&amp;IF(AND(Q222="Minijob (geringfügig)",ISNUMBER(BB222),BB222&gt;P_Minijob),"Minijob-Grenze überschritten; ","")&amp;IF(AND(R222="Ja",S222=""),"Befristung ohne Enddatum; ","")&amp;IF(AND(ISNUMBER(O222),ISNUMBER(N222),O222&lt;N222),"Austritt vor Eintritt; ","")&amp;IF(AND(ISNUMBER(AU222),ISNUMBER(AV222),AU222&lt;AV222),"Urlaub unter gesetzl. Minimum; ","")&amp;IF(AND(ISNUMBER(AC222),ISNUMBER(AF222),ABS(N(AC222)-N(AF222))&gt;0.01),"Wochenstd. weichen vom Modell ab; ","")&amp;IF(AND(AI222="Ja",OR(AJ222="",AK222="")),"Kontogrenzen fehlen; ","")&amp;IF(AND(AL222="Mit Gehalt abgegolten (Pauschale)",AM222=""),"Überstunden-Pauschale fehlt; ",""))="","OK",IF(OR(B222="",C222="",F222="",N222="",Q222="",AB222="",AC222="",AD222="",AU222=""),"Pflichtfelder fehlen; ","")&amp;IF(AND(ISNUMBER(AC222),AC222&gt;P_MaxWoche),"Wochenstunden &gt; Prüfgrenze; ","")&amp;IF(AND(BF222="Ja",ISNUMBER(AC222),AC222&gt;P_MaxWocheJugend),"Jugendlicher &gt; 40 h/Woche; ","")&amp;IF(AND(ISNUMBER(BD222),BD222&lt;P_Mindestlohn,Q222&lt;&gt;"Auszubildende/r",Q222&lt;&gt;"Praktikant/in"),"Mindestlohn unterschritten?; ","")&amp;IF(AND(Q222="Minijob (geringfügig)",ISNUMBER(BB222),BB222&gt;P_Minijob),"Minijob-Grenze überschritten; ","")&amp;IF(AND(R222="Ja",S222=""),"Befristung ohne Enddatum; ","")&amp;IF(AND(ISNUMBER(O222),ISNUMBER(N222),O222&lt;N222),"Austritt vor Eintritt; ","")&amp;IF(AND(ISNUMBER(AU222),ISNUMBER(AV222),AU222&lt;AV222),"Urlaub unter gesetzl. Minimum; ","")&amp;IF(AND(ISNUMBER(AC222),ISNUMBER(AF222),ABS(N(AC222)-N(AF222))&gt;0.01),"Wochenstd. weichen vom Modell ab; ","")&amp;IF(AND(AI222="Ja",OR(AJ222="",AK222="")),"Kontogrenzen fehlen; ","")&amp;IF(AND(AL222="Mit Gehalt abgegolten (Pauschale)",AM222=""),"Überstunden-Pauschale fehlt; ","")))</f>
        <v/>
      </c>
      <c r="BH222" s="38"/>
    </row>
    <row r="223" customFormat="false" ht="15" hidden="false" customHeight="false" outlineLevel="0" collapsed="false">
      <c r="A223" s="37"/>
      <c r="B223" s="38"/>
      <c r="C223" s="38"/>
      <c r="D223" s="38"/>
      <c r="E223" s="38"/>
      <c r="F223" s="39"/>
      <c r="G223" s="38"/>
      <c r="H223" s="38"/>
      <c r="I223" s="37"/>
      <c r="J223" s="38"/>
      <c r="K223" s="38"/>
      <c r="L223" s="38"/>
      <c r="M223" s="38"/>
      <c r="N223" s="39"/>
      <c r="O223" s="39"/>
      <c r="P223" s="38"/>
      <c r="Q223" s="38"/>
      <c r="R223" s="38"/>
      <c r="S223" s="39"/>
      <c r="T223" s="39"/>
      <c r="U223" s="38"/>
      <c r="V223" s="38"/>
      <c r="W223" s="37"/>
      <c r="X223" s="38"/>
      <c r="Y223" s="38"/>
      <c r="Z223" s="37"/>
      <c r="AA223" s="38"/>
      <c r="AB223" s="38"/>
      <c r="AC223" s="40"/>
      <c r="AD223" s="41"/>
      <c r="AE223" s="42" t="str">
        <f aca="false">IF(OR(A223="",NOT(ISNUMBER(AC223)),NOT(ISNUMBER(AD223))),"",IF(AD223&gt;0,AC223/AD223,""))</f>
        <v/>
      </c>
      <c r="AF223" s="42" t="str">
        <f aca="false">IF(OR(A223="",AB223=""),"",IFERROR(INDEX(Arbeitszeitmodelle!$C$5:$C$34,MATCH(AB223,Arbeitszeitmodelle!$A$5:$A$34,0)),""))</f>
        <v/>
      </c>
      <c r="AG223" s="38"/>
      <c r="AH223" s="38"/>
      <c r="AI223" s="38"/>
      <c r="AJ223" s="41"/>
      <c r="AK223" s="41"/>
      <c r="AL223" s="38"/>
      <c r="AM223" s="41"/>
      <c r="AN223" s="38"/>
      <c r="AO223" s="38"/>
      <c r="AP223" s="38"/>
      <c r="AQ223" s="38"/>
      <c r="AR223" s="41"/>
      <c r="AS223" s="40"/>
      <c r="AT223" s="39"/>
      <c r="AU223" s="41"/>
      <c r="AV223" s="43" t="str">
        <f aca="false">IF(OR(A223="",NOT(ISNUMBER(AD223))),"",P_MinUrlaubWerktage/6*AD223)</f>
        <v/>
      </c>
      <c r="AW223" s="43" t="str">
        <f aca="false">IF(A223="","",IF(M223="Ja",P_ZusatzSB*IF(ISNUMBER(AD223),AD223,5)/5,0))</f>
        <v/>
      </c>
      <c r="AX223" s="41"/>
      <c r="AY223" s="39"/>
      <c r="AZ223" s="43" t="str">
        <f aca="false">IF(OR(A223="",NOT(ISNUMBER(AU223))),"",SUM(AU223,AW223,AX223))</f>
        <v/>
      </c>
      <c r="BA223" s="38"/>
      <c r="BB223" s="44"/>
      <c r="BC223" s="44"/>
      <c r="BD223" s="45" t="str">
        <f aca="false">IF(A223="","",IF(BA223="Stundenlohn",IF(ISNUMBER(BC223),BC223,""),IF(AND(ISNUMBER(BB223),ISNUMBER(AC223)),IF(AC223&gt;0,BB223*12/(AC223*52),""),"")))</f>
        <v/>
      </c>
      <c r="BE223" s="46" t="str">
        <f aca="false">IF(OR(A223="",NOT(ISNUMBER(F223))),"",IFERROR(DATEDIF(F223,P_Stichtag,"Y"),""))</f>
        <v/>
      </c>
      <c r="BF223" s="47" t="str">
        <f aca="false">IF(OR(A223="",NOT(ISNUMBER(BE223))),"",IF(BE223&lt;18,"Ja","Nein"))</f>
        <v/>
      </c>
      <c r="BG223" s="48" t="str">
        <f aca="false">IF(A223="","",IF((IF(OR(B223="",C223="",F223="",N223="",Q223="",AB223="",AC223="",AD223="",AU223=""),"Pflichtfelder fehlen; ","")&amp;IF(AND(ISNUMBER(AC223),AC223&gt;P_MaxWoche),"Wochenstunden &gt; Prüfgrenze; ","")&amp;IF(AND(BF223="Ja",ISNUMBER(AC223),AC223&gt;P_MaxWocheJugend),"Jugendlicher &gt; 40 h/Woche; ","")&amp;IF(AND(ISNUMBER(BD223),BD223&lt;P_Mindestlohn,Q223&lt;&gt;"Auszubildende/r",Q223&lt;&gt;"Praktikant/in"),"Mindestlohn unterschritten?; ","")&amp;IF(AND(Q223="Minijob (geringfügig)",ISNUMBER(BB223),BB223&gt;P_Minijob),"Minijob-Grenze überschritten; ","")&amp;IF(AND(R223="Ja",S223=""),"Befristung ohne Enddatum; ","")&amp;IF(AND(ISNUMBER(O223),ISNUMBER(N223),O223&lt;N223),"Austritt vor Eintritt; ","")&amp;IF(AND(ISNUMBER(AU223),ISNUMBER(AV223),AU223&lt;AV223),"Urlaub unter gesetzl. Minimum; ","")&amp;IF(AND(ISNUMBER(AC223),ISNUMBER(AF223),ABS(N(AC223)-N(AF223))&gt;0.01),"Wochenstd. weichen vom Modell ab; ","")&amp;IF(AND(AI223="Ja",OR(AJ223="",AK223="")),"Kontogrenzen fehlen; ","")&amp;IF(AND(AL223="Mit Gehalt abgegolten (Pauschale)",AM223=""),"Überstunden-Pauschale fehlt; ",""))="","OK",IF(OR(B223="",C223="",F223="",N223="",Q223="",AB223="",AC223="",AD223="",AU223=""),"Pflichtfelder fehlen; ","")&amp;IF(AND(ISNUMBER(AC223),AC223&gt;P_MaxWoche),"Wochenstunden &gt; Prüfgrenze; ","")&amp;IF(AND(BF223="Ja",ISNUMBER(AC223),AC223&gt;P_MaxWocheJugend),"Jugendlicher &gt; 40 h/Woche; ","")&amp;IF(AND(ISNUMBER(BD223),BD223&lt;P_Mindestlohn,Q223&lt;&gt;"Auszubildende/r",Q223&lt;&gt;"Praktikant/in"),"Mindestlohn unterschritten?; ","")&amp;IF(AND(Q223="Minijob (geringfügig)",ISNUMBER(BB223),BB223&gt;P_Minijob),"Minijob-Grenze überschritten; ","")&amp;IF(AND(R223="Ja",S223=""),"Befristung ohne Enddatum; ","")&amp;IF(AND(ISNUMBER(O223),ISNUMBER(N223),O223&lt;N223),"Austritt vor Eintritt; ","")&amp;IF(AND(ISNUMBER(AU223),ISNUMBER(AV223),AU223&lt;AV223),"Urlaub unter gesetzl. Minimum; ","")&amp;IF(AND(ISNUMBER(AC223),ISNUMBER(AF223),ABS(N(AC223)-N(AF223))&gt;0.01),"Wochenstd. weichen vom Modell ab; ","")&amp;IF(AND(AI223="Ja",OR(AJ223="",AK223="")),"Kontogrenzen fehlen; ","")&amp;IF(AND(AL223="Mit Gehalt abgegolten (Pauschale)",AM223=""),"Überstunden-Pauschale fehlt; ","")))</f>
        <v/>
      </c>
      <c r="BH223" s="38"/>
    </row>
    <row r="224" customFormat="false" ht="15" hidden="false" customHeight="false" outlineLevel="0" collapsed="false">
      <c r="A224" s="37"/>
      <c r="B224" s="38"/>
      <c r="C224" s="38"/>
      <c r="D224" s="38"/>
      <c r="E224" s="38"/>
      <c r="F224" s="39"/>
      <c r="G224" s="38"/>
      <c r="H224" s="38"/>
      <c r="I224" s="37"/>
      <c r="J224" s="38"/>
      <c r="K224" s="38"/>
      <c r="L224" s="38"/>
      <c r="M224" s="38"/>
      <c r="N224" s="39"/>
      <c r="O224" s="39"/>
      <c r="P224" s="38"/>
      <c r="Q224" s="38"/>
      <c r="R224" s="38"/>
      <c r="S224" s="39"/>
      <c r="T224" s="39"/>
      <c r="U224" s="38"/>
      <c r="V224" s="38"/>
      <c r="W224" s="37"/>
      <c r="X224" s="38"/>
      <c r="Y224" s="38"/>
      <c r="Z224" s="37"/>
      <c r="AA224" s="38"/>
      <c r="AB224" s="38"/>
      <c r="AC224" s="40"/>
      <c r="AD224" s="41"/>
      <c r="AE224" s="42" t="str">
        <f aca="false">IF(OR(A224="",NOT(ISNUMBER(AC224)),NOT(ISNUMBER(AD224))),"",IF(AD224&gt;0,AC224/AD224,""))</f>
        <v/>
      </c>
      <c r="AF224" s="42" t="str">
        <f aca="false">IF(OR(A224="",AB224=""),"",IFERROR(INDEX(Arbeitszeitmodelle!$C$5:$C$34,MATCH(AB224,Arbeitszeitmodelle!$A$5:$A$34,0)),""))</f>
        <v/>
      </c>
      <c r="AG224" s="38"/>
      <c r="AH224" s="38"/>
      <c r="AI224" s="38"/>
      <c r="AJ224" s="41"/>
      <c r="AK224" s="41"/>
      <c r="AL224" s="38"/>
      <c r="AM224" s="41"/>
      <c r="AN224" s="38"/>
      <c r="AO224" s="38"/>
      <c r="AP224" s="38"/>
      <c r="AQ224" s="38"/>
      <c r="AR224" s="41"/>
      <c r="AS224" s="40"/>
      <c r="AT224" s="39"/>
      <c r="AU224" s="41"/>
      <c r="AV224" s="43" t="str">
        <f aca="false">IF(OR(A224="",NOT(ISNUMBER(AD224))),"",P_MinUrlaubWerktage/6*AD224)</f>
        <v/>
      </c>
      <c r="AW224" s="43" t="str">
        <f aca="false">IF(A224="","",IF(M224="Ja",P_ZusatzSB*IF(ISNUMBER(AD224),AD224,5)/5,0))</f>
        <v/>
      </c>
      <c r="AX224" s="41"/>
      <c r="AY224" s="39"/>
      <c r="AZ224" s="43" t="str">
        <f aca="false">IF(OR(A224="",NOT(ISNUMBER(AU224))),"",SUM(AU224,AW224,AX224))</f>
        <v/>
      </c>
      <c r="BA224" s="38"/>
      <c r="BB224" s="44"/>
      <c r="BC224" s="44"/>
      <c r="BD224" s="45" t="str">
        <f aca="false">IF(A224="","",IF(BA224="Stundenlohn",IF(ISNUMBER(BC224),BC224,""),IF(AND(ISNUMBER(BB224),ISNUMBER(AC224)),IF(AC224&gt;0,BB224*12/(AC224*52),""),"")))</f>
        <v/>
      </c>
      <c r="BE224" s="46" t="str">
        <f aca="false">IF(OR(A224="",NOT(ISNUMBER(F224))),"",IFERROR(DATEDIF(F224,P_Stichtag,"Y"),""))</f>
        <v/>
      </c>
      <c r="BF224" s="47" t="str">
        <f aca="false">IF(OR(A224="",NOT(ISNUMBER(BE224))),"",IF(BE224&lt;18,"Ja","Nein"))</f>
        <v/>
      </c>
      <c r="BG224" s="48" t="str">
        <f aca="false">IF(A224="","",IF((IF(OR(B224="",C224="",F224="",N224="",Q224="",AB224="",AC224="",AD224="",AU224=""),"Pflichtfelder fehlen; ","")&amp;IF(AND(ISNUMBER(AC224),AC224&gt;P_MaxWoche),"Wochenstunden &gt; Prüfgrenze; ","")&amp;IF(AND(BF224="Ja",ISNUMBER(AC224),AC224&gt;P_MaxWocheJugend),"Jugendlicher &gt; 40 h/Woche; ","")&amp;IF(AND(ISNUMBER(BD224),BD224&lt;P_Mindestlohn,Q224&lt;&gt;"Auszubildende/r",Q224&lt;&gt;"Praktikant/in"),"Mindestlohn unterschritten?; ","")&amp;IF(AND(Q224="Minijob (geringfügig)",ISNUMBER(BB224),BB224&gt;P_Minijob),"Minijob-Grenze überschritten; ","")&amp;IF(AND(R224="Ja",S224=""),"Befristung ohne Enddatum; ","")&amp;IF(AND(ISNUMBER(O224),ISNUMBER(N224),O224&lt;N224),"Austritt vor Eintritt; ","")&amp;IF(AND(ISNUMBER(AU224),ISNUMBER(AV224),AU224&lt;AV224),"Urlaub unter gesetzl. Minimum; ","")&amp;IF(AND(ISNUMBER(AC224),ISNUMBER(AF224),ABS(N(AC224)-N(AF224))&gt;0.01),"Wochenstd. weichen vom Modell ab; ","")&amp;IF(AND(AI224="Ja",OR(AJ224="",AK224="")),"Kontogrenzen fehlen; ","")&amp;IF(AND(AL224="Mit Gehalt abgegolten (Pauschale)",AM224=""),"Überstunden-Pauschale fehlt; ",""))="","OK",IF(OR(B224="",C224="",F224="",N224="",Q224="",AB224="",AC224="",AD224="",AU224=""),"Pflichtfelder fehlen; ","")&amp;IF(AND(ISNUMBER(AC224),AC224&gt;P_MaxWoche),"Wochenstunden &gt; Prüfgrenze; ","")&amp;IF(AND(BF224="Ja",ISNUMBER(AC224),AC224&gt;P_MaxWocheJugend),"Jugendlicher &gt; 40 h/Woche; ","")&amp;IF(AND(ISNUMBER(BD224),BD224&lt;P_Mindestlohn,Q224&lt;&gt;"Auszubildende/r",Q224&lt;&gt;"Praktikant/in"),"Mindestlohn unterschritten?; ","")&amp;IF(AND(Q224="Minijob (geringfügig)",ISNUMBER(BB224),BB224&gt;P_Minijob),"Minijob-Grenze überschritten; ","")&amp;IF(AND(R224="Ja",S224=""),"Befristung ohne Enddatum; ","")&amp;IF(AND(ISNUMBER(O224),ISNUMBER(N224),O224&lt;N224),"Austritt vor Eintritt; ","")&amp;IF(AND(ISNUMBER(AU224),ISNUMBER(AV224),AU224&lt;AV224),"Urlaub unter gesetzl. Minimum; ","")&amp;IF(AND(ISNUMBER(AC224),ISNUMBER(AF224),ABS(N(AC224)-N(AF224))&gt;0.01),"Wochenstd. weichen vom Modell ab; ","")&amp;IF(AND(AI224="Ja",OR(AJ224="",AK224="")),"Kontogrenzen fehlen; ","")&amp;IF(AND(AL224="Mit Gehalt abgegolten (Pauschale)",AM224=""),"Überstunden-Pauschale fehlt; ","")))</f>
        <v/>
      </c>
      <c r="BH224" s="38"/>
    </row>
    <row r="225" customFormat="false" ht="15" hidden="false" customHeight="false" outlineLevel="0" collapsed="false">
      <c r="A225" s="37"/>
      <c r="B225" s="38"/>
      <c r="C225" s="38"/>
      <c r="D225" s="38"/>
      <c r="E225" s="38"/>
      <c r="F225" s="39"/>
      <c r="G225" s="38"/>
      <c r="H225" s="38"/>
      <c r="I225" s="37"/>
      <c r="J225" s="38"/>
      <c r="K225" s="38"/>
      <c r="L225" s="38"/>
      <c r="M225" s="38"/>
      <c r="N225" s="39"/>
      <c r="O225" s="39"/>
      <c r="P225" s="38"/>
      <c r="Q225" s="38"/>
      <c r="R225" s="38"/>
      <c r="S225" s="39"/>
      <c r="T225" s="39"/>
      <c r="U225" s="38"/>
      <c r="V225" s="38"/>
      <c r="W225" s="37"/>
      <c r="X225" s="38"/>
      <c r="Y225" s="38"/>
      <c r="Z225" s="37"/>
      <c r="AA225" s="38"/>
      <c r="AB225" s="38"/>
      <c r="AC225" s="40"/>
      <c r="AD225" s="41"/>
      <c r="AE225" s="42" t="str">
        <f aca="false">IF(OR(A225="",NOT(ISNUMBER(AC225)),NOT(ISNUMBER(AD225))),"",IF(AD225&gt;0,AC225/AD225,""))</f>
        <v/>
      </c>
      <c r="AF225" s="42" t="str">
        <f aca="false">IF(OR(A225="",AB225=""),"",IFERROR(INDEX(Arbeitszeitmodelle!$C$5:$C$34,MATCH(AB225,Arbeitszeitmodelle!$A$5:$A$34,0)),""))</f>
        <v/>
      </c>
      <c r="AG225" s="38"/>
      <c r="AH225" s="38"/>
      <c r="AI225" s="38"/>
      <c r="AJ225" s="41"/>
      <c r="AK225" s="41"/>
      <c r="AL225" s="38"/>
      <c r="AM225" s="41"/>
      <c r="AN225" s="38"/>
      <c r="AO225" s="38"/>
      <c r="AP225" s="38"/>
      <c r="AQ225" s="38"/>
      <c r="AR225" s="41"/>
      <c r="AS225" s="40"/>
      <c r="AT225" s="39"/>
      <c r="AU225" s="41"/>
      <c r="AV225" s="43" t="str">
        <f aca="false">IF(OR(A225="",NOT(ISNUMBER(AD225))),"",P_MinUrlaubWerktage/6*AD225)</f>
        <v/>
      </c>
      <c r="AW225" s="43" t="str">
        <f aca="false">IF(A225="","",IF(M225="Ja",P_ZusatzSB*IF(ISNUMBER(AD225),AD225,5)/5,0))</f>
        <v/>
      </c>
      <c r="AX225" s="41"/>
      <c r="AY225" s="39"/>
      <c r="AZ225" s="43" t="str">
        <f aca="false">IF(OR(A225="",NOT(ISNUMBER(AU225))),"",SUM(AU225,AW225,AX225))</f>
        <v/>
      </c>
      <c r="BA225" s="38"/>
      <c r="BB225" s="44"/>
      <c r="BC225" s="44"/>
      <c r="BD225" s="45" t="str">
        <f aca="false">IF(A225="","",IF(BA225="Stundenlohn",IF(ISNUMBER(BC225),BC225,""),IF(AND(ISNUMBER(BB225),ISNUMBER(AC225)),IF(AC225&gt;0,BB225*12/(AC225*52),""),"")))</f>
        <v/>
      </c>
      <c r="BE225" s="46" t="str">
        <f aca="false">IF(OR(A225="",NOT(ISNUMBER(F225))),"",IFERROR(DATEDIF(F225,P_Stichtag,"Y"),""))</f>
        <v/>
      </c>
      <c r="BF225" s="47" t="str">
        <f aca="false">IF(OR(A225="",NOT(ISNUMBER(BE225))),"",IF(BE225&lt;18,"Ja","Nein"))</f>
        <v/>
      </c>
      <c r="BG225" s="48" t="str">
        <f aca="false">IF(A225="","",IF((IF(OR(B225="",C225="",F225="",N225="",Q225="",AB225="",AC225="",AD225="",AU225=""),"Pflichtfelder fehlen; ","")&amp;IF(AND(ISNUMBER(AC225),AC225&gt;P_MaxWoche),"Wochenstunden &gt; Prüfgrenze; ","")&amp;IF(AND(BF225="Ja",ISNUMBER(AC225),AC225&gt;P_MaxWocheJugend),"Jugendlicher &gt; 40 h/Woche; ","")&amp;IF(AND(ISNUMBER(BD225),BD225&lt;P_Mindestlohn,Q225&lt;&gt;"Auszubildende/r",Q225&lt;&gt;"Praktikant/in"),"Mindestlohn unterschritten?; ","")&amp;IF(AND(Q225="Minijob (geringfügig)",ISNUMBER(BB225),BB225&gt;P_Minijob),"Minijob-Grenze überschritten; ","")&amp;IF(AND(R225="Ja",S225=""),"Befristung ohne Enddatum; ","")&amp;IF(AND(ISNUMBER(O225),ISNUMBER(N225),O225&lt;N225),"Austritt vor Eintritt; ","")&amp;IF(AND(ISNUMBER(AU225),ISNUMBER(AV225),AU225&lt;AV225),"Urlaub unter gesetzl. Minimum; ","")&amp;IF(AND(ISNUMBER(AC225),ISNUMBER(AF225),ABS(N(AC225)-N(AF225))&gt;0.01),"Wochenstd. weichen vom Modell ab; ","")&amp;IF(AND(AI225="Ja",OR(AJ225="",AK225="")),"Kontogrenzen fehlen; ","")&amp;IF(AND(AL225="Mit Gehalt abgegolten (Pauschale)",AM225=""),"Überstunden-Pauschale fehlt; ",""))="","OK",IF(OR(B225="",C225="",F225="",N225="",Q225="",AB225="",AC225="",AD225="",AU225=""),"Pflichtfelder fehlen; ","")&amp;IF(AND(ISNUMBER(AC225),AC225&gt;P_MaxWoche),"Wochenstunden &gt; Prüfgrenze; ","")&amp;IF(AND(BF225="Ja",ISNUMBER(AC225),AC225&gt;P_MaxWocheJugend),"Jugendlicher &gt; 40 h/Woche; ","")&amp;IF(AND(ISNUMBER(BD225),BD225&lt;P_Mindestlohn,Q225&lt;&gt;"Auszubildende/r",Q225&lt;&gt;"Praktikant/in"),"Mindestlohn unterschritten?; ","")&amp;IF(AND(Q225="Minijob (geringfügig)",ISNUMBER(BB225),BB225&gt;P_Minijob),"Minijob-Grenze überschritten; ","")&amp;IF(AND(R225="Ja",S225=""),"Befristung ohne Enddatum; ","")&amp;IF(AND(ISNUMBER(O225),ISNUMBER(N225),O225&lt;N225),"Austritt vor Eintritt; ","")&amp;IF(AND(ISNUMBER(AU225),ISNUMBER(AV225),AU225&lt;AV225),"Urlaub unter gesetzl. Minimum; ","")&amp;IF(AND(ISNUMBER(AC225),ISNUMBER(AF225),ABS(N(AC225)-N(AF225))&gt;0.01),"Wochenstd. weichen vom Modell ab; ","")&amp;IF(AND(AI225="Ja",OR(AJ225="",AK225="")),"Kontogrenzen fehlen; ","")&amp;IF(AND(AL225="Mit Gehalt abgegolten (Pauschale)",AM225=""),"Überstunden-Pauschale fehlt; ","")))</f>
        <v/>
      </c>
      <c r="BH225" s="38"/>
    </row>
    <row r="226" customFormat="false" ht="15" hidden="false" customHeight="false" outlineLevel="0" collapsed="false">
      <c r="A226" s="37"/>
      <c r="B226" s="38"/>
      <c r="C226" s="38"/>
      <c r="D226" s="38"/>
      <c r="E226" s="38"/>
      <c r="F226" s="39"/>
      <c r="G226" s="38"/>
      <c r="H226" s="38"/>
      <c r="I226" s="37"/>
      <c r="J226" s="38"/>
      <c r="K226" s="38"/>
      <c r="L226" s="38"/>
      <c r="M226" s="38"/>
      <c r="N226" s="39"/>
      <c r="O226" s="39"/>
      <c r="P226" s="38"/>
      <c r="Q226" s="38"/>
      <c r="R226" s="38"/>
      <c r="S226" s="39"/>
      <c r="T226" s="39"/>
      <c r="U226" s="38"/>
      <c r="V226" s="38"/>
      <c r="W226" s="37"/>
      <c r="X226" s="38"/>
      <c r="Y226" s="38"/>
      <c r="Z226" s="37"/>
      <c r="AA226" s="38"/>
      <c r="AB226" s="38"/>
      <c r="AC226" s="40"/>
      <c r="AD226" s="41"/>
      <c r="AE226" s="42" t="str">
        <f aca="false">IF(OR(A226="",NOT(ISNUMBER(AC226)),NOT(ISNUMBER(AD226))),"",IF(AD226&gt;0,AC226/AD226,""))</f>
        <v/>
      </c>
      <c r="AF226" s="42" t="str">
        <f aca="false">IF(OR(A226="",AB226=""),"",IFERROR(INDEX(Arbeitszeitmodelle!$C$5:$C$34,MATCH(AB226,Arbeitszeitmodelle!$A$5:$A$34,0)),""))</f>
        <v/>
      </c>
      <c r="AG226" s="38"/>
      <c r="AH226" s="38"/>
      <c r="AI226" s="38"/>
      <c r="AJ226" s="41"/>
      <c r="AK226" s="41"/>
      <c r="AL226" s="38"/>
      <c r="AM226" s="41"/>
      <c r="AN226" s="38"/>
      <c r="AO226" s="38"/>
      <c r="AP226" s="38"/>
      <c r="AQ226" s="38"/>
      <c r="AR226" s="41"/>
      <c r="AS226" s="40"/>
      <c r="AT226" s="39"/>
      <c r="AU226" s="41"/>
      <c r="AV226" s="43" t="str">
        <f aca="false">IF(OR(A226="",NOT(ISNUMBER(AD226))),"",P_MinUrlaubWerktage/6*AD226)</f>
        <v/>
      </c>
      <c r="AW226" s="43" t="str">
        <f aca="false">IF(A226="","",IF(M226="Ja",P_ZusatzSB*IF(ISNUMBER(AD226),AD226,5)/5,0))</f>
        <v/>
      </c>
      <c r="AX226" s="41"/>
      <c r="AY226" s="39"/>
      <c r="AZ226" s="43" t="str">
        <f aca="false">IF(OR(A226="",NOT(ISNUMBER(AU226))),"",SUM(AU226,AW226,AX226))</f>
        <v/>
      </c>
      <c r="BA226" s="38"/>
      <c r="BB226" s="44"/>
      <c r="BC226" s="44"/>
      <c r="BD226" s="45" t="str">
        <f aca="false">IF(A226="","",IF(BA226="Stundenlohn",IF(ISNUMBER(BC226),BC226,""),IF(AND(ISNUMBER(BB226),ISNUMBER(AC226)),IF(AC226&gt;0,BB226*12/(AC226*52),""),"")))</f>
        <v/>
      </c>
      <c r="BE226" s="46" t="str">
        <f aca="false">IF(OR(A226="",NOT(ISNUMBER(F226))),"",IFERROR(DATEDIF(F226,P_Stichtag,"Y"),""))</f>
        <v/>
      </c>
      <c r="BF226" s="47" t="str">
        <f aca="false">IF(OR(A226="",NOT(ISNUMBER(BE226))),"",IF(BE226&lt;18,"Ja","Nein"))</f>
        <v/>
      </c>
      <c r="BG226" s="48" t="str">
        <f aca="false">IF(A226="","",IF((IF(OR(B226="",C226="",F226="",N226="",Q226="",AB226="",AC226="",AD226="",AU226=""),"Pflichtfelder fehlen; ","")&amp;IF(AND(ISNUMBER(AC226),AC226&gt;P_MaxWoche),"Wochenstunden &gt; Prüfgrenze; ","")&amp;IF(AND(BF226="Ja",ISNUMBER(AC226),AC226&gt;P_MaxWocheJugend),"Jugendlicher &gt; 40 h/Woche; ","")&amp;IF(AND(ISNUMBER(BD226),BD226&lt;P_Mindestlohn,Q226&lt;&gt;"Auszubildende/r",Q226&lt;&gt;"Praktikant/in"),"Mindestlohn unterschritten?; ","")&amp;IF(AND(Q226="Minijob (geringfügig)",ISNUMBER(BB226),BB226&gt;P_Minijob),"Minijob-Grenze überschritten; ","")&amp;IF(AND(R226="Ja",S226=""),"Befristung ohne Enddatum; ","")&amp;IF(AND(ISNUMBER(O226),ISNUMBER(N226),O226&lt;N226),"Austritt vor Eintritt; ","")&amp;IF(AND(ISNUMBER(AU226),ISNUMBER(AV226),AU226&lt;AV226),"Urlaub unter gesetzl. Minimum; ","")&amp;IF(AND(ISNUMBER(AC226),ISNUMBER(AF226),ABS(N(AC226)-N(AF226))&gt;0.01),"Wochenstd. weichen vom Modell ab; ","")&amp;IF(AND(AI226="Ja",OR(AJ226="",AK226="")),"Kontogrenzen fehlen; ","")&amp;IF(AND(AL226="Mit Gehalt abgegolten (Pauschale)",AM226=""),"Überstunden-Pauschale fehlt; ",""))="","OK",IF(OR(B226="",C226="",F226="",N226="",Q226="",AB226="",AC226="",AD226="",AU226=""),"Pflichtfelder fehlen; ","")&amp;IF(AND(ISNUMBER(AC226),AC226&gt;P_MaxWoche),"Wochenstunden &gt; Prüfgrenze; ","")&amp;IF(AND(BF226="Ja",ISNUMBER(AC226),AC226&gt;P_MaxWocheJugend),"Jugendlicher &gt; 40 h/Woche; ","")&amp;IF(AND(ISNUMBER(BD226),BD226&lt;P_Mindestlohn,Q226&lt;&gt;"Auszubildende/r",Q226&lt;&gt;"Praktikant/in"),"Mindestlohn unterschritten?; ","")&amp;IF(AND(Q226="Minijob (geringfügig)",ISNUMBER(BB226),BB226&gt;P_Minijob),"Minijob-Grenze überschritten; ","")&amp;IF(AND(R226="Ja",S226=""),"Befristung ohne Enddatum; ","")&amp;IF(AND(ISNUMBER(O226),ISNUMBER(N226),O226&lt;N226),"Austritt vor Eintritt; ","")&amp;IF(AND(ISNUMBER(AU226),ISNUMBER(AV226),AU226&lt;AV226),"Urlaub unter gesetzl. Minimum; ","")&amp;IF(AND(ISNUMBER(AC226),ISNUMBER(AF226),ABS(N(AC226)-N(AF226))&gt;0.01),"Wochenstd. weichen vom Modell ab; ","")&amp;IF(AND(AI226="Ja",OR(AJ226="",AK226="")),"Kontogrenzen fehlen; ","")&amp;IF(AND(AL226="Mit Gehalt abgegolten (Pauschale)",AM226=""),"Überstunden-Pauschale fehlt; ","")))</f>
        <v/>
      </c>
      <c r="BH226" s="38"/>
    </row>
    <row r="227" customFormat="false" ht="15" hidden="false" customHeight="false" outlineLevel="0" collapsed="false">
      <c r="A227" s="37"/>
      <c r="B227" s="38"/>
      <c r="C227" s="38"/>
      <c r="D227" s="38"/>
      <c r="E227" s="38"/>
      <c r="F227" s="39"/>
      <c r="G227" s="38"/>
      <c r="H227" s="38"/>
      <c r="I227" s="37"/>
      <c r="J227" s="38"/>
      <c r="K227" s="38"/>
      <c r="L227" s="38"/>
      <c r="M227" s="38"/>
      <c r="N227" s="39"/>
      <c r="O227" s="39"/>
      <c r="P227" s="38"/>
      <c r="Q227" s="38"/>
      <c r="R227" s="38"/>
      <c r="S227" s="39"/>
      <c r="T227" s="39"/>
      <c r="U227" s="38"/>
      <c r="V227" s="38"/>
      <c r="W227" s="37"/>
      <c r="X227" s="38"/>
      <c r="Y227" s="38"/>
      <c r="Z227" s="37"/>
      <c r="AA227" s="38"/>
      <c r="AB227" s="38"/>
      <c r="AC227" s="40"/>
      <c r="AD227" s="41"/>
      <c r="AE227" s="42" t="str">
        <f aca="false">IF(OR(A227="",NOT(ISNUMBER(AC227)),NOT(ISNUMBER(AD227))),"",IF(AD227&gt;0,AC227/AD227,""))</f>
        <v/>
      </c>
      <c r="AF227" s="42" t="str">
        <f aca="false">IF(OR(A227="",AB227=""),"",IFERROR(INDEX(Arbeitszeitmodelle!$C$5:$C$34,MATCH(AB227,Arbeitszeitmodelle!$A$5:$A$34,0)),""))</f>
        <v/>
      </c>
      <c r="AG227" s="38"/>
      <c r="AH227" s="38"/>
      <c r="AI227" s="38"/>
      <c r="AJ227" s="41"/>
      <c r="AK227" s="41"/>
      <c r="AL227" s="38"/>
      <c r="AM227" s="41"/>
      <c r="AN227" s="38"/>
      <c r="AO227" s="38"/>
      <c r="AP227" s="38"/>
      <c r="AQ227" s="38"/>
      <c r="AR227" s="41"/>
      <c r="AS227" s="40"/>
      <c r="AT227" s="39"/>
      <c r="AU227" s="41"/>
      <c r="AV227" s="43" t="str">
        <f aca="false">IF(OR(A227="",NOT(ISNUMBER(AD227))),"",P_MinUrlaubWerktage/6*AD227)</f>
        <v/>
      </c>
      <c r="AW227" s="43" t="str">
        <f aca="false">IF(A227="","",IF(M227="Ja",P_ZusatzSB*IF(ISNUMBER(AD227),AD227,5)/5,0))</f>
        <v/>
      </c>
      <c r="AX227" s="41"/>
      <c r="AY227" s="39"/>
      <c r="AZ227" s="43" t="str">
        <f aca="false">IF(OR(A227="",NOT(ISNUMBER(AU227))),"",SUM(AU227,AW227,AX227))</f>
        <v/>
      </c>
      <c r="BA227" s="38"/>
      <c r="BB227" s="44"/>
      <c r="BC227" s="44"/>
      <c r="BD227" s="45" t="str">
        <f aca="false">IF(A227="","",IF(BA227="Stundenlohn",IF(ISNUMBER(BC227),BC227,""),IF(AND(ISNUMBER(BB227),ISNUMBER(AC227)),IF(AC227&gt;0,BB227*12/(AC227*52),""),"")))</f>
        <v/>
      </c>
      <c r="BE227" s="46" t="str">
        <f aca="false">IF(OR(A227="",NOT(ISNUMBER(F227))),"",IFERROR(DATEDIF(F227,P_Stichtag,"Y"),""))</f>
        <v/>
      </c>
      <c r="BF227" s="47" t="str">
        <f aca="false">IF(OR(A227="",NOT(ISNUMBER(BE227))),"",IF(BE227&lt;18,"Ja","Nein"))</f>
        <v/>
      </c>
      <c r="BG227" s="48" t="str">
        <f aca="false">IF(A227="","",IF((IF(OR(B227="",C227="",F227="",N227="",Q227="",AB227="",AC227="",AD227="",AU227=""),"Pflichtfelder fehlen; ","")&amp;IF(AND(ISNUMBER(AC227),AC227&gt;P_MaxWoche),"Wochenstunden &gt; Prüfgrenze; ","")&amp;IF(AND(BF227="Ja",ISNUMBER(AC227),AC227&gt;P_MaxWocheJugend),"Jugendlicher &gt; 40 h/Woche; ","")&amp;IF(AND(ISNUMBER(BD227),BD227&lt;P_Mindestlohn,Q227&lt;&gt;"Auszubildende/r",Q227&lt;&gt;"Praktikant/in"),"Mindestlohn unterschritten?; ","")&amp;IF(AND(Q227="Minijob (geringfügig)",ISNUMBER(BB227),BB227&gt;P_Minijob),"Minijob-Grenze überschritten; ","")&amp;IF(AND(R227="Ja",S227=""),"Befristung ohne Enddatum; ","")&amp;IF(AND(ISNUMBER(O227),ISNUMBER(N227),O227&lt;N227),"Austritt vor Eintritt; ","")&amp;IF(AND(ISNUMBER(AU227),ISNUMBER(AV227),AU227&lt;AV227),"Urlaub unter gesetzl. Minimum; ","")&amp;IF(AND(ISNUMBER(AC227),ISNUMBER(AF227),ABS(N(AC227)-N(AF227))&gt;0.01),"Wochenstd. weichen vom Modell ab; ","")&amp;IF(AND(AI227="Ja",OR(AJ227="",AK227="")),"Kontogrenzen fehlen; ","")&amp;IF(AND(AL227="Mit Gehalt abgegolten (Pauschale)",AM227=""),"Überstunden-Pauschale fehlt; ",""))="","OK",IF(OR(B227="",C227="",F227="",N227="",Q227="",AB227="",AC227="",AD227="",AU227=""),"Pflichtfelder fehlen; ","")&amp;IF(AND(ISNUMBER(AC227),AC227&gt;P_MaxWoche),"Wochenstunden &gt; Prüfgrenze; ","")&amp;IF(AND(BF227="Ja",ISNUMBER(AC227),AC227&gt;P_MaxWocheJugend),"Jugendlicher &gt; 40 h/Woche; ","")&amp;IF(AND(ISNUMBER(BD227),BD227&lt;P_Mindestlohn,Q227&lt;&gt;"Auszubildende/r",Q227&lt;&gt;"Praktikant/in"),"Mindestlohn unterschritten?; ","")&amp;IF(AND(Q227="Minijob (geringfügig)",ISNUMBER(BB227),BB227&gt;P_Minijob),"Minijob-Grenze überschritten; ","")&amp;IF(AND(R227="Ja",S227=""),"Befristung ohne Enddatum; ","")&amp;IF(AND(ISNUMBER(O227),ISNUMBER(N227),O227&lt;N227),"Austritt vor Eintritt; ","")&amp;IF(AND(ISNUMBER(AU227),ISNUMBER(AV227),AU227&lt;AV227),"Urlaub unter gesetzl. Minimum; ","")&amp;IF(AND(ISNUMBER(AC227),ISNUMBER(AF227),ABS(N(AC227)-N(AF227))&gt;0.01),"Wochenstd. weichen vom Modell ab; ","")&amp;IF(AND(AI227="Ja",OR(AJ227="",AK227="")),"Kontogrenzen fehlen; ","")&amp;IF(AND(AL227="Mit Gehalt abgegolten (Pauschale)",AM227=""),"Überstunden-Pauschale fehlt; ","")))</f>
        <v/>
      </c>
      <c r="BH227" s="38"/>
    </row>
    <row r="228" customFormat="false" ht="15" hidden="false" customHeight="false" outlineLevel="0" collapsed="false">
      <c r="A228" s="37"/>
      <c r="B228" s="38"/>
      <c r="C228" s="38"/>
      <c r="D228" s="38"/>
      <c r="E228" s="38"/>
      <c r="F228" s="39"/>
      <c r="G228" s="38"/>
      <c r="H228" s="38"/>
      <c r="I228" s="37"/>
      <c r="J228" s="38"/>
      <c r="K228" s="38"/>
      <c r="L228" s="38"/>
      <c r="M228" s="38"/>
      <c r="N228" s="39"/>
      <c r="O228" s="39"/>
      <c r="P228" s="38"/>
      <c r="Q228" s="38"/>
      <c r="R228" s="38"/>
      <c r="S228" s="39"/>
      <c r="T228" s="39"/>
      <c r="U228" s="38"/>
      <c r="V228" s="38"/>
      <c r="W228" s="37"/>
      <c r="X228" s="38"/>
      <c r="Y228" s="38"/>
      <c r="Z228" s="37"/>
      <c r="AA228" s="38"/>
      <c r="AB228" s="38"/>
      <c r="AC228" s="40"/>
      <c r="AD228" s="41"/>
      <c r="AE228" s="42" t="str">
        <f aca="false">IF(OR(A228="",NOT(ISNUMBER(AC228)),NOT(ISNUMBER(AD228))),"",IF(AD228&gt;0,AC228/AD228,""))</f>
        <v/>
      </c>
      <c r="AF228" s="42" t="str">
        <f aca="false">IF(OR(A228="",AB228=""),"",IFERROR(INDEX(Arbeitszeitmodelle!$C$5:$C$34,MATCH(AB228,Arbeitszeitmodelle!$A$5:$A$34,0)),""))</f>
        <v/>
      </c>
      <c r="AG228" s="38"/>
      <c r="AH228" s="38"/>
      <c r="AI228" s="38"/>
      <c r="AJ228" s="41"/>
      <c r="AK228" s="41"/>
      <c r="AL228" s="38"/>
      <c r="AM228" s="41"/>
      <c r="AN228" s="38"/>
      <c r="AO228" s="38"/>
      <c r="AP228" s="38"/>
      <c r="AQ228" s="38"/>
      <c r="AR228" s="41"/>
      <c r="AS228" s="40"/>
      <c r="AT228" s="39"/>
      <c r="AU228" s="41"/>
      <c r="AV228" s="43" t="str">
        <f aca="false">IF(OR(A228="",NOT(ISNUMBER(AD228))),"",P_MinUrlaubWerktage/6*AD228)</f>
        <v/>
      </c>
      <c r="AW228" s="43" t="str">
        <f aca="false">IF(A228="","",IF(M228="Ja",P_ZusatzSB*IF(ISNUMBER(AD228),AD228,5)/5,0))</f>
        <v/>
      </c>
      <c r="AX228" s="41"/>
      <c r="AY228" s="39"/>
      <c r="AZ228" s="43" t="str">
        <f aca="false">IF(OR(A228="",NOT(ISNUMBER(AU228))),"",SUM(AU228,AW228,AX228))</f>
        <v/>
      </c>
      <c r="BA228" s="38"/>
      <c r="BB228" s="44"/>
      <c r="BC228" s="44"/>
      <c r="BD228" s="45" t="str">
        <f aca="false">IF(A228="","",IF(BA228="Stundenlohn",IF(ISNUMBER(BC228),BC228,""),IF(AND(ISNUMBER(BB228),ISNUMBER(AC228)),IF(AC228&gt;0,BB228*12/(AC228*52),""),"")))</f>
        <v/>
      </c>
      <c r="BE228" s="46" t="str">
        <f aca="false">IF(OR(A228="",NOT(ISNUMBER(F228))),"",IFERROR(DATEDIF(F228,P_Stichtag,"Y"),""))</f>
        <v/>
      </c>
      <c r="BF228" s="47" t="str">
        <f aca="false">IF(OR(A228="",NOT(ISNUMBER(BE228))),"",IF(BE228&lt;18,"Ja","Nein"))</f>
        <v/>
      </c>
      <c r="BG228" s="48" t="str">
        <f aca="false">IF(A228="","",IF((IF(OR(B228="",C228="",F228="",N228="",Q228="",AB228="",AC228="",AD228="",AU228=""),"Pflichtfelder fehlen; ","")&amp;IF(AND(ISNUMBER(AC228),AC228&gt;P_MaxWoche),"Wochenstunden &gt; Prüfgrenze; ","")&amp;IF(AND(BF228="Ja",ISNUMBER(AC228),AC228&gt;P_MaxWocheJugend),"Jugendlicher &gt; 40 h/Woche; ","")&amp;IF(AND(ISNUMBER(BD228),BD228&lt;P_Mindestlohn,Q228&lt;&gt;"Auszubildende/r",Q228&lt;&gt;"Praktikant/in"),"Mindestlohn unterschritten?; ","")&amp;IF(AND(Q228="Minijob (geringfügig)",ISNUMBER(BB228),BB228&gt;P_Minijob),"Minijob-Grenze überschritten; ","")&amp;IF(AND(R228="Ja",S228=""),"Befristung ohne Enddatum; ","")&amp;IF(AND(ISNUMBER(O228),ISNUMBER(N228),O228&lt;N228),"Austritt vor Eintritt; ","")&amp;IF(AND(ISNUMBER(AU228),ISNUMBER(AV228),AU228&lt;AV228),"Urlaub unter gesetzl. Minimum; ","")&amp;IF(AND(ISNUMBER(AC228),ISNUMBER(AF228),ABS(N(AC228)-N(AF228))&gt;0.01),"Wochenstd. weichen vom Modell ab; ","")&amp;IF(AND(AI228="Ja",OR(AJ228="",AK228="")),"Kontogrenzen fehlen; ","")&amp;IF(AND(AL228="Mit Gehalt abgegolten (Pauschale)",AM228=""),"Überstunden-Pauschale fehlt; ",""))="","OK",IF(OR(B228="",C228="",F228="",N228="",Q228="",AB228="",AC228="",AD228="",AU228=""),"Pflichtfelder fehlen; ","")&amp;IF(AND(ISNUMBER(AC228),AC228&gt;P_MaxWoche),"Wochenstunden &gt; Prüfgrenze; ","")&amp;IF(AND(BF228="Ja",ISNUMBER(AC228),AC228&gt;P_MaxWocheJugend),"Jugendlicher &gt; 40 h/Woche; ","")&amp;IF(AND(ISNUMBER(BD228),BD228&lt;P_Mindestlohn,Q228&lt;&gt;"Auszubildende/r",Q228&lt;&gt;"Praktikant/in"),"Mindestlohn unterschritten?; ","")&amp;IF(AND(Q228="Minijob (geringfügig)",ISNUMBER(BB228),BB228&gt;P_Minijob),"Minijob-Grenze überschritten; ","")&amp;IF(AND(R228="Ja",S228=""),"Befristung ohne Enddatum; ","")&amp;IF(AND(ISNUMBER(O228),ISNUMBER(N228),O228&lt;N228),"Austritt vor Eintritt; ","")&amp;IF(AND(ISNUMBER(AU228),ISNUMBER(AV228),AU228&lt;AV228),"Urlaub unter gesetzl. Minimum; ","")&amp;IF(AND(ISNUMBER(AC228),ISNUMBER(AF228),ABS(N(AC228)-N(AF228))&gt;0.01),"Wochenstd. weichen vom Modell ab; ","")&amp;IF(AND(AI228="Ja",OR(AJ228="",AK228="")),"Kontogrenzen fehlen; ","")&amp;IF(AND(AL228="Mit Gehalt abgegolten (Pauschale)",AM228=""),"Überstunden-Pauschale fehlt; ","")))</f>
        <v/>
      </c>
      <c r="BH228" s="38"/>
    </row>
    <row r="229" customFormat="false" ht="15" hidden="false" customHeight="false" outlineLevel="0" collapsed="false">
      <c r="A229" s="37"/>
      <c r="B229" s="38"/>
      <c r="C229" s="38"/>
      <c r="D229" s="38"/>
      <c r="E229" s="38"/>
      <c r="F229" s="39"/>
      <c r="G229" s="38"/>
      <c r="H229" s="38"/>
      <c r="I229" s="37"/>
      <c r="J229" s="38"/>
      <c r="K229" s="38"/>
      <c r="L229" s="38"/>
      <c r="M229" s="38"/>
      <c r="N229" s="39"/>
      <c r="O229" s="39"/>
      <c r="P229" s="38"/>
      <c r="Q229" s="38"/>
      <c r="R229" s="38"/>
      <c r="S229" s="39"/>
      <c r="T229" s="39"/>
      <c r="U229" s="38"/>
      <c r="V229" s="38"/>
      <c r="W229" s="37"/>
      <c r="X229" s="38"/>
      <c r="Y229" s="38"/>
      <c r="Z229" s="37"/>
      <c r="AA229" s="38"/>
      <c r="AB229" s="38"/>
      <c r="AC229" s="40"/>
      <c r="AD229" s="41"/>
      <c r="AE229" s="42" t="str">
        <f aca="false">IF(OR(A229="",NOT(ISNUMBER(AC229)),NOT(ISNUMBER(AD229))),"",IF(AD229&gt;0,AC229/AD229,""))</f>
        <v/>
      </c>
      <c r="AF229" s="42" t="str">
        <f aca="false">IF(OR(A229="",AB229=""),"",IFERROR(INDEX(Arbeitszeitmodelle!$C$5:$C$34,MATCH(AB229,Arbeitszeitmodelle!$A$5:$A$34,0)),""))</f>
        <v/>
      </c>
      <c r="AG229" s="38"/>
      <c r="AH229" s="38"/>
      <c r="AI229" s="38"/>
      <c r="AJ229" s="41"/>
      <c r="AK229" s="41"/>
      <c r="AL229" s="38"/>
      <c r="AM229" s="41"/>
      <c r="AN229" s="38"/>
      <c r="AO229" s="38"/>
      <c r="AP229" s="38"/>
      <c r="AQ229" s="38"/>
      <c r="AR229" s="41"/>
      <c r="AS229" s="40"/>
      <c r="AT229" s="39"/>
      <c r="AU229" s="41"/>
      <c r="AV229" s="43" t="str">
        <f aca="false">IF(OR(A229="",NOT(ISNUMBER(AD229))),"",P_MinUrlaubWerktage/6*AD229)</f>
        <v/>
      </c>
      <c r="AW229" s="43" t="str">
        <f aca="false">IF(A229="","",IF(M229="Ja",P_ZusatzSB*IF(ISNUMBER(AD229),AD229,5)/5,0))</f>
        <v/>
      </c>
      <c r="AX229" s="41"/>
      <c r="AY229" s="39"/>
      <c r="AZ229" s="43" t="str">
        <f aca="false">IF(OR(A229="",NOT(ISNUMBER(AU229))),"",SUM(AU229,AW229,AX229))</f>
        <v/>
      </c>
      <c r="BA229" s="38"/>
      <c r="BB229" s="44"/>
      <c r="BC229" s="44"/>
      <c r="BD229" s="45" t="str">
        <f aca="false">IF(A229="","",IF(BA229="Stundenlohn",IF(ISNUMBER(BC229),BC229,""),IF(AND(ISNUMBER(BB229),ISNUMBER(AC229)),IF(AC229&gt;0,BB229*12/(AC229*52),""),"")))</f>
        <v/>
      </c>
      <c r="BE229" s="46" t="str">
        <f aca="false">IF(OR(A229="",NOT(ISNUMBER(F229))),"",IFERROR(DATEDIF(F229,P_Stichtag,"Y"),""))</f>
        <v/>
      </c>
      <c r="BF229" s="47" t="str">
        <f aca="false">IF(OR(A229="",NOT(ISNUMBER(BE229))),"",IF(BE229&lt;18,"Ja","Nein"))</f>
        <v/>
      </c>
      <c r="BG229" s="48" t="str">
        <f aca="false">IF(A229="","",IF((IF(OR(B229="",C229="",F229="",N229="",Q229="",AB229="",AC229="",AD229="",AU229=""),"Pflichtfelder fehlen; ","")&amp;IF(AND(ISNUMBER(AC229),AC229&gt;P_MaxWoche),"Wochenstunden &gt; Prüfgrenze; ","")&amp;IF(AND(BF229="Ja",ISNUMBER(AC229),AC229&gt;P_MaxWocheJugend),"Jugendlicher &gt; 40 h/Woche; ","")&amp;IF(AND(ISNUMBER(BD229),BD229&lt;P_Mindestlohn,Q229&lt;&gt;"Auszubildende/r",Q229&lt;&gt;"Praktikant/in"),"Mindestlohn unterschritten?; ","")&amp;IF(AND(Q229="Minijob (geringfügig)",ISNUMBER(BB229),BB229&gt;P_Minijob),"Minijob-Grenze überschritten; ","")&amp;IF(AND(R229="Ja",S229=""),"Befristung ohne Enddatum; ","")&amp;IF(AND(ISNUMBER(O229),ISNUMBER(N229),O229&lt;N229),"Austritt vor Eintritt; ","")&amp;IF(AND(ISNUMBER(AU229),ISNUMBER(AV229),AU229&lt;AV229),"Urlaub unter gesetzl. Minimum; ","")&amp;IF(AND(ISNUMBER(AC229),ISNUMBER(AF229),ABS(N(AC229)-N(AF229))&gt;0.01),"Wochenstd. weichen vom Modell ab; ","")&amp;IF(AND(AI229="Ja",OR(AJ229="",AK229="")),"Kontogrenzen fehlen; ","")&amp;IF(AND(AL229="Mit Gehalt abgegolten (Pauschale)",AM229=""),"Überstunden-Pauschale fehlt; ",""))="","OK",IF(OR(B229="",C229="",F229="",N229="",Q229="",AB229="",AC229="",AD229="",AU229=""),"Pflichtfelder fehlen; ","")&amp;IF(AND(ISNUMBER(AC229),AC229&gt;P_MaxWoche),"Wochenstunden &gt; Prüfgrenze; ","")&amp;IF(AND(BF229="Ja",ISNUMBER(AC229),AC229&gt;P_MaxWocheJugend),"Jugendlicher &gt; 40 h/Woche; ","")&amp;IF(AND(ISNUMBER(BD229),BD229&lt;P_Mindestlohn,Q229&lt;&gt;"Auszubildende/r",Q229&lt;&gt;"Praktikant/in"),"Mindestlohn unterschritten?; ","")&amp;IF(AND(Q229="Minijob (geringfügig)",ISNUMBER(BB229),BB229&gt;P_Minijob),"Minijob-Grenze überschritten; ","")&amp;IF(AND(R229="Ja",S229=""),"Befristung ohne Enddatum; ","")&amp;IF(AND(ISNUMBER(O229),ISNUMBER(N229),O229&lt;N229),"Austritt vor Eintritt; ","")&amp;IF(AND(ISNUMBER(AU229),ISNUMBER(AV229),AU229&lt;AV229),"Urlaub unter gesetzl. Minimum; ","")&amp;IF(AND(ISNUMBER(AC229),ISNUMBER(AF229),ABS(N(AC229)-N(AF229))&gt;0.01),"Wochenstd. weichen vom Modell ab; ","")&amp;IF(AND(AI229="Ja",OR(AJ229="",AK229="")),"Kontogrenzen fehlen; ","")&amp;IF(AND(AL229="Mit Gehalt abgegolten (Pauschale)",AM229=""),"Überstunden-Pauschale fehlt; ","")))</f>
        <v/>
      </c>
      <c r="BH229" s="38"/>
    </row>
    <row r="230" customFormat="false" ht="15" hidden="false" customHeight="false" outlineLevel="0" collapsed="false">
      <c r="A230" s="37"/>
      <c r="B230" s="38"/>
      <c r="C230" s="38"/>
      <c r="D230" s="38"/>
      <c r="E230" s="38"/>
      <c r="F230" s="39"/>
      <c r="G230" s="38"/>
      <c r="H230" s="38"/>
      <c r="I230" s="37"/>
      <c r="J230" s="38"/>
      <c r="K230" s="38"/>
      <c r="L230" s="38"/>
      <c r="M230" s="38"/>
      <c r="N230" s="39"/>
      <c r="O230" s="39"/>
      <c r="P230" s="38"/>
      <c r="Q230" s="38"/>
      <c r="R230" s="38"/>
      <c r="S230" s="39"/>
      <c r="T230" s="39"/>
      <c r="U230" s="38"/>
      <c r="V230" s="38"/>
      <c r="W230" s="37"/>
      <c r="X230" s="38"/>
      <c r="Y230" s="38"/>
      <c r="Z230" s="37"/>
      <c r="AA230" s="38"/>
      <c r="AB230" s="38"/>
      <c r="AC230" s="40"/>
      <c r="AD230" s="41"/>
      <c r="AE230" s="42" t="str">
        <f aca="false">IF(OR(A230="",NOT(ISNUMBER(AC230)),NOT(ISNUMBER(AD230))),"",IF(AD230&gt;0,AC230/AD230,""))</f>
        <v/>
      </c>
      <c r="AF230" s="42" t="str">
        <f aca="false">IF(OR(A230="",AB230=""),"",IFERROR(INDEX(Arbeitszeitmodelle!$C$5:$C$34,MATCH(AB230,Arbeitszeitmodelle!$A$5:$A$34,0)),""))</f>
        <v/>
      </c>
      <c r="AG230" s="38"/>
      <c r="AH230" s="38"/>
      <c r="AI230" s="38"/>
      <c r="AJ230" s="41"/>
      <c r="AK230" s="41"/>
      <c r="AL230" s="38"/>
      <c r="AM230" s="41"/>
      <c r="AN230" s="38"/>
      <c r="AO230" s="38"/>
      <c r="AP230" s="38"/>
      <c r="AQ230" s="38"/>
      <c r="AR230" s="41"/>
      <c r="AS230" s="40"/>
      <c r="AT230" s="39"/>
      <c r="AU230" s="41"/>
      <c r="AV230" s="43" t="str">
        <f aca="false">IF(OR(A230="",NOT(ISNUMBER(AD230))),"",P_MinUrlaubWerktage/6*AD230)</f>
        <v/>
      </c>
      <c r="AW230" s="43" t="str">
        <f aca="false">IF(A230="","",IF(M230="Ja",P_ZusatzSB*IF(ISNUMBER(AD230),AD230,5)/5,0))</f>
        <v/>
      </c>
      <c r="AX230" s="41"/>
      <c r="AY230" s="39"/>
      <c r="AZ230" s="43" t="str">
        <f aca="false">IF(OR(A230="",NOT(ISNUMBER(AU230))),"",SUM(AU230,AW230,AX230))</f>
        <v/>
      </c>
      <c r="BA230" s="38"/>
      <c r="BB230" s="44"/>
      <c r="BC230" s="44"/>
      <c r="BD230" s="45" t="str">
        <f aca="false">IF(A230="","",IF(BA230="Stundenlohn",IF(ISNUMBER(BC230),BC230,""),IF(AND(ISNUMBER(BB230),ISNUMBER(AC230)),IF(AC230&gt;0,BB230*12/(AC230*52),""),"")))</f>
        <v/>
      </c>
      <c r="BE230" s="46" t="str">
        <f aca="false">IF(OR(A230="",NOT(ISNUMBER(F230))),"",IFERROR(DATEDIF(F230,P_Stichtag,"Y"),""))</f>
        <v/>
      </c>
      <c r="BF230" s="47" t="str">
        <f aca="false">IF(OR(A230="",NOT(ISNUMBER(BE230))),"",IF(BE230&lt;18,"Ja","Nein"))</f>
        <v/>
      </c>
      <c r="BG230" s="48" t="str">
        <f aca="false">IF(A230="","",IF((IF(OR(B230="",C230="",F230="",N230="",Q230="",AB230="",AC230="",AD230="",AU230=""),"Pflichtfelder fehlen; ","")&amp;IF(AND(ISNUMBER(AC230),AC230&gt;P_MaxWoche),"Wochenstunden &gt; Prüfgrenze; ","")&amp;IF(AND(BF230="Ja",ISNUMBER(AC230),AC230&gt;P_MaxWocheJugend),"Jugendlicher &gt; 40 h/Woche; ","")&amp;IF(AND(ISNUMBER(BD230),BD230&lt;P_Mindestlohn,Q230&lt;&gt;"Auszubildende/r",Q230&lt;&gt;"Praktikant/in"),"Mindestlohn unterschritten?; ","")&amp;IF(AND(Q230="Minijob (geringfügig)",ISNUMBER(BB230),BB230&gt;P_Minijob),"Minijob-Grenze überschritten; ","")&amp;IF(AND(R230="Ja",S230=""),"Befristung ohne Enddatum; ","")&amp;IF(AND(ISNUMBER(O230),ISNUMBER(N230),O230&lt;N230),"Austritt vor Eintritt; ","")&amp;IF(AND(ISNUMBER(AU230),ISNUMBER(AV230),AU230&lt;AV230),"Urlaub unter gesetzl. Minimum; ","")&amp;IF(AND(ISNUMBER(AC230),ISNUMBER(AF230),ABS(N(AC230)-N(AF230))&gt;0.01),"Wochenstd. weichen vom Modell ab; ","")&amp;IF(AND(AI230="Ja",OR(AJ230="",AK230="")),"Kontogrenzen fehlen; ","")&amp;IF(AND(AL230="Mit Gehalt abgegolten (Pauschale)",AM230=""),"Überstunden-Pauschale fehlt; ",""))="","OK",IF(OR(B230="",C230="",F230="",N230="",Q230="",AB230="",AC230="",AD230="",AU230=""),"Pflichtfelder fehlen; ","")&amp;IF(AND(ISNUMBER(AC230),AC230&gt;P_MaxWoche),"Wochenstunden &gt; Prüfgrenze; ","")&amp;IF(AND(BF230="Ja",ISNUMBER(AC230),AC230&gt;P_MaxWocheJugend),"Jugendlicher &gt; 40 h/Woche; ","")&amp;IF(AND(ISNUMBER(BD230),BD230&lt;P_Mindestlohn,Q230&lt;&gt;"Auszubildende/r",Q230&lt;&gt;"Praktikant/in"),"Mindestlohn unterschritten?; ","")&amp;IF(AND(Q230="Minijob (geringfügig)",ISNUMBER(BB230),BB230&gt;P_Minijob),"Minijob-Grenze überschritten; ","")&amp;IF(AND(R230="Ja",S230=""),"Befristung ohne Enddatum; ","")&amp;IF(AND(ISNUMBER(O230),ISNUMBER(N230),O230&lt;N230),"Austritt vor Eintritt; ","")&amp;IF(AND(ISNUMBER(AU230),ISNUMBER(AV230),AU230&lt;AV230),"Urlaub unter gesetzl. Minimum; ","")&amp;IF(AND(ISNUMBER(AC230),ISNUMBER(AF230),ABS(N(AC230)-N(AF230))&gt;0.01),"Wochenstd. weichen vom Modell ab; ","")&amp;IF(AND(AI230="Ja",OR(AJ230="",AK230="")),"Kontogrenzen fehlen; ","")&amp;IF(AND(AL230="Mit Gehalt abgegolten (Pauschale)",AM230=""),"Überstunden-Pauschale fehlt; ","")))</f>
        <v/>
      </c>
      <c r="BH230" s="38"/>
    </row>
    <row r="231" customFormat="false" ht="15" hidden="false" customHeight="false" outlineLevel="0" collapsed="false">
      <c r="A231" s="37"/>
      <c r="B231" s="38"/>
      <c r="C231" s="38"/>
      <c r="D231" s="38"/>
      <c r="E231" s="38"/>
      <c r="F231" s="39"/>
      <c r="G231" s="38"/>
      <c r="H231" s="38"/>
      <c r="I231" s="37"/>
      <c r="J231" s="38"/>
      <c r="K231" s="38"/>
      <c r="L231" s="38"/>
      <c r="M231" s="38"/>
      <c r="N231" s="39"/>
      <c r="O231" s="39"/>
      <c r="P231" s="38"/>
      <c r="Q231" s="38"/>
      <c r="R231" s="38"/>
      <c r="S231" s="39"/>
      <c r="T231" s="39"/>
      <c r="U231" s="38"/>
      <c r="V231" s="38"/>
      <c r="W231" s="37"/>
      <c r="X231" s="38"/>
      <c r="Y231" s="38"/>
      <c r="Z231" s="37"/>
      <c r="AA231" s="38"/>
      <c r="AB231" s="38"/>
      <c r="AC231" s="40"/>
      <c r="AD231" s="41"/>
      <c r="AE231" s="42" t="str">
        <f aca="false">IF(OR(A231="",NOT(ISNUMBER(AC231)),NOT(ISNUMBER(AD231))),"",IF(AD231&gt;0,AC231/AD231,""))</f>
        <v/>
      </c>
      <c r="AF231" s="42" t="str">
        <f aca="false">IF(OR(A231="",AB231=""),"",IFERROR(INDEX(Arbeitszeitmodelle!$C$5:$C$34,MATCH(AB231,Arbeitszeitmodelle!$A$5:$A$34,0)),""))</f>
        <v/>
      </c>
      <c r="AG231" s="38"/>
      <c r="AH231" s="38"/>
      <c r="AI231" s="38"/>
      <c r="AJ231" s="41"/>
      <c r="AK231" s="41"/>
      <c r="AL231" s="38"/>
      <c r="AM231" s="41"/>
      <c r="AN231" s="38"/>
      <c r="AO231" s="38"/>
      <c r="AP231" s="38"/>
      <c r="AQ231" s="38"/>
      <c r="AR231" s="41"/>
      <c r="AS231" s="40"/>
      <c r="AT231" s="39"/>
      <c r="AU231" s="41"/>
      <c r="AV231" s="43" t="str">
        <f aca="false">IF(OR(A231="",NOT(ISNUMBER(AD231))),"",P_MinUrlaubWerktage/6*AD231)</f>
        <v/>
      </c>
      <c r="AW231" s="43" t="str">
        <f aca="false">IF(A231="","",IF(M231="Ja",P_ZusatzSB*IF(ISNUMBER(AD231),AD231,5)/5,0))</f>
        <v/>
      </c>
      <c r="AX231" s="41"/>
      <c r="AY231" s="39"/>
      <c r="AZ231" s="43" t="str">
        <f aca="false">IF(OR(A231="",NOT(ISNUMBER(AU231))),"",SUM(AU231,AW231,AX231))</f>
        <v/>
      </c>
      <c r="BA231" s="38"/>
      <c r="BB231" s="44"/>
      <c r="BC231" s="44"/>
      <c r="BD231" s="45" t="str">
        <f aca="false">IF(A231="","",IF(BA231="Stundenlohn",IF(ISNUMBER(BC231),BC231,""),IF(AND(ISNUMBER(BB231),ISNUMBER(AC231)),IF(AC231&gt;0,BB231*12/(AC231*52),""),"")))</f>
        <v/>
      </c>
      <c r="BE231" s="46" t="str">
        <f aca="false">IF(OR(A231="",NOT(ISNUMBER(F231))),"",IFERROR(DATEDIF(F231,P_Stichtag,"Y"),""))</f>
        <v/>
      </c>
      <c r="BF231" s="47" t="str">
        <f aca="false">IF(OR(A231="",NOT(ISNUMBER(BE231))),"",IF(BE231&lt;18,"Ja","Nein"))</f>
        <v/>
      </c>
      <c r="BG231" s="48" t="str">
        <f aca="false">IF(A231="","",IF((IF(OR(B231="",C231="",F231="",N231="",Q231="",AB231="",AC231="",AD231="",AU231=""),"Pflichtfelder fehlen; ","")&amp;IF(AND(ISNUMBER(AC231),AC231&gt;P_MaxWoche),"Wochenstunden &gt; Prüfgrenze; ","")&amp;IF(AND(BF231="Ja",ISNUMBER(AC231),AC231&gt;P_MaxWocheJugend),"Jugendlicher &gt; 40 h/Woche; ","")&amp;IF(AND(ISNUMBER(BD231),BD231&lt;P_Mindestlohn,Q231&lt;&gt;"Auszubildende/r",Q231&lt;&gt;"Praktikant/in"),"Mindestlohn unterschritten?; ","")&amp;IF(AND(Q231="Minijob (geringfügig)",ISNUMBER(BB231),BB231&gt;P_Minijob),"Minijob-Grenze überschritten; ","")&amp;IF(AND(R231="Ja",S231=""),"Befristung ohne Enddatum; ","")&amp;IF(AND(ISNUMBER(O231),ISNUMBER(N231),O231&lt;N231),"Austritt vor Eintritt; ","")&amp;IF(AND(ISNUMBER(AU231),ISNUMBER(AV231),AU231&lt;AV231),"Urlaub unter gesetzl. Minimum; ","")&amp;IF(AND(ISNUMBER(AC231),ISNUMBER(AF231),ABS(N(AC231)-N(AF231))&gt;0.01),"Wochenstd. weichen vom Modell ab; ","")&amp;IF(AND(AI231="Ja",OR(AJ231="",AK231="")),"Kontogrenzen fehlen; ","")&amp;IF(AND(AL231="Mit Gehalt abgegolten (Pauschale)",AM231=""),"Überstunden-Pauschale fehlt; ",""))="","OK",IF(OR(B231="",C231="",F231="",N231="",Q231="",AB231="",AC231="",AD231="",AU231=""),"Pflichtfelder fehlen; ","")&amp;IF(AND(ISNUMBER(AC231),AC231&gt;P_MaxWoche),"Wochenstunden &gt; Prüfgrenze; ","")&amp;IF(AND(BF231="Ja",ISNUMBER(AC231),AC231&gt;P_MaxWocheJugend),"Jugendlicher &gt; 40 h/Woche; ","")&amp;IF(AND(ISNUMBER(BD231),BD231&lt;P_Mindestlohn,Q231&lt;&gt;"Auszubildende/r",Q231&lt;&gt;"Praktikant/in"),"Mindestlohn unterschritten?; ","")&amp;IF(AND(Q231="Minijob (geringfügig)",ISNUMBER(BB231),BB231&gt;P_Minijob),"Minijob-Grenze überschritten; ","")&amp;IF(AND(R231="Ja",S231=""),"Befristung ohne Enddatum; ","")&amp;IF(AND(ISNUMBER(O231),ISNUMBER(N231),O231&lt;N231),"Austritt vor Eintritt; ","")&amp;IF(AND(ISNUMBER(AU231),ISNUMBER(AV231),AU231&lt;AV231),"Urlaub unter gesetzl. Minimum; ","")&amp;IF(AND(ISNUMBER(AC231),ISNUMBER(AF231),ABS(N(AC231)-N(AF231))&gt;0.01),"Wochenstd. weichen vom Modell ab; ","")&amp;IF(AND(AI231="Ja",OR(AJ231="",AK231="")),"Kontogrenzen fehlen; ","")&amp;IF(AND(AL231="Mit Gehalt abgegolten (Pauschale)",AM231=""),"Überstunden-Pauschale fehlt; ","")))</f>
        <v/>
      </c>
      <c r="BH231" s="38"/>
    </row>
    <row r="232" customFormat="false" ht="15" hidden="false" customHeight="false" outlineLevel="0" collapsed="false">
      <c r="A232" s="37"/>
      <c r="B232" s="38"/>
      <c r="C232" s="38"/>
      <c r="D232" s="38"/>
      <c r="E232" s="38"/>
      <c r="F232" s="39"/>
      <c r="G232" s="38"/>
      <c r="H232" s="38"/>
      <c r="I232" s="37"/>
      <c r="J232" s="38"/>
      <c r="K232" s="38"/>
      <c r="L232" s="38"/>
      <c r="M232" s="38"/>
      <c r="N232" s="39"/>
      <c r="O232" s="39"/>
      <c r="P232" s="38"/>
      <c r="Q232" s="38"/>
      <c r="R232" s="38"/>
      <c r="S232" s="39"/>
      <c r="T232" s="39"/>
      <c r="U232" s="38"/>
      <c r="V232" s="38"/>
      <c r="W232" s="37"/>
      <c r="X232" s="38"/>
      <c r="Y232" s="38"/>
      <c r="Z232" s="37"/>
      <c r="AA232" s="38"/>
      <c r="AB232" s="38"/>
      <c r="AC232" s="40"/>
      <c r="AD232" s="41"/>
      <c r="AE232" s="42" t="str">
        <f aca="false">IF(OR(A232="",NOT(ISNUMBER(AC232)),NOT(ISNUMBER(AD232))),"",IF(AD232&gt;0,AC232/AD232,""))</f>
        <v/>
      </c>
      <c r="AF232" s="42" t="str">
        <f aca="false">IF(OR(A232="",AB232=""),"",IFERROR(INDEX(Arbeitszeitmodelle!$C$5:$C$34,MATCH(AB232,Arbeitszeitmodelle!$A$5:$A$34,0)),""))</f>
        <v/>
      </c>
      <c r="AG232" s="38"/>
      <c r="AH232" s="38"/>
      <c r="AI232" s="38"/>
      <c r="AJ232" s="41"/>
      <c r="AK232" s="41"/>
      <c r="AL232" s="38"/>
      <c r="AM232" s="41"/>
      <c r="AN232" s="38"/>
      <c r="AO232" s="38"/>
      <c r="AP232" s="38"/>
      <c r="AQ232" s="38"/>
      <c r="AR232" s="41"/>
      <c r="AS232" s="40"/>
      <c r="AT232" s="39"/>
      <c r="AU232" s="41"/>
      <c r="AV232" s="43" t="str">
        <f aca="false">IF(OR(A232="",NOT(ISNUMBER(AD232))),"",P_MinUrlaubWerktage/6*AD232)</f>
        <v/>
      </c>
      <c r="AW232" s="43" t="str">
        <f aca="false">IF(A232="","",IF(M232="Ja",P_ZusatzSB*IF(ISNUMBER(AD232),AD232,5)/5,0))</f>
        <v/>
      </c>
      <c r="AX232" s="41"/>
      <c r="AY232" s="39"/>
      <c r="AZ232" s="43" t="str">
        <f aca="false">IF(OR(A232="",NOT(ISNUMBER(AU232))),"",SUM(AU232,AW232,AX232))</f>
        <v/>
      </c>
      <c r="BA232" s="38"/>
      <c r="BB232" s="44"/>
      <c r="BC232" s="44"/>
      <c r="BD232" s="45" t="str">
        <f aca="false">IF(A232="","",IF(BA232="Stundenlohn",IF(ISNUMBER(BC232),BC232,""),IF(AND(ISNUMBER(BB232),ISNUMBER(AC232)),IF(AC232&gt;0,BB232*12/(AC232*52),""),"")))</f>
        <v/>
      </c>
      <c r="BE232" s="46" t="str">
        <f aca="false">IF(OR(A232="",NOT(ISNUMBER(F232))),"",IFERROR(DATEDIF(F232,P_Stichtag,"Y"),""))</f>
        <v/>
      </c>
      <c r="BF232" s="47" t="str">
        <f aca="false">IF(OR(A232="",NOT(ISNUMBER(BE232))),"",IF(BE232&lt;18,"Ja","Nein"))</f>
        <v/>
      </c>
      <c r="BG232" s="48" t="str">
        <f aca="false">IF(A232="","",IF((IF(OR(B232="",C232="",F232="",N232="",Q232="",AB232="",AC232="",AD232="",AU232=""),"Pflichtfelder fehlen; ","")&amp;IF(AND(ISNUMBER(AC232),AC232&gt;P_MaxWoche),"Wochenstunden &gt; Prüfgrenze; ","")&amp;IF(AND(BF232="Ja",ISNUMBER(AC232),AC232&gt;P_MaxWocheJugend),"Jugendlicher &gt; 40 h/Woche; ","")&amp;IF(AND(ISNUMBER(BD232),BD232&lt;P_Mindestlohn,Q232&lt;&gt;"Auszubildende/r",Q232&lt;&gt;"Praktikant/in"),"Mindestlohn unterschritten?; ","")&amp;IF(AND(Q232="Minijob (geringfügig)",ISNUMBER(BB232),BB232&gt;P_Minijob),"Minijob-Grenze überschritten; ","")&amp;IF(AND(R232="Ja",S232=""),"Befristung ohne Enddatum; ","")&amp;IF(AND(ISNUMBER(O232),ISNUMBER(N232),O232&lt;N232),"Austritt vor Eintritt; ","")&amp;IF(AND(ISNUMBER(AU232),ISNUMBER(AV232),AU232&lt;AV232),"Urlaub unter gesetzl. Minimum; ","")&amp;IF(AND(ISNUMBER(AC232),ISNUMBER(AF232),ABS(N(AC232)-N(AF232))&gt;0.01),"Wochenstd. weichen vom Modell ab; ","")&amp;IF(AND(AI232="Ja",OR(AJ232="",AK232="")),"Kontogrenzen fehlen; ","")&amp;IF(AND(AL232="Mit Gehalt abgegolten (Pauschale)",AM232=""),"Überstunden-Pauschale fehlt; ",""))="","OK",IF(OR(B232="",C232="",F232="",N232="",Q232="",AB232="",AC232="",AD232="",AU232=""),"Pflichtfelder fehlen; ","")&amp;IF(AND(ISNUMBER(AC232),AC232&gt;P_MaxWoche),"Wochenstunden &gt; Prüfgrenze; ","")&amp;IF(AND(BF232="Ja",ISNUMBER(AC232),AC232&gt;P_MaxWocheJugend),"Jugendlicher &gt; 40 h/Woche; ","")&amp;IF(AND(ISNUMBER(BD232),BD232&lt;P_Mindestlohn,Q232&lt;&gt;"Auszubildende/r",Q232&lt;&gt;"Praktikant/in"),"Mindestlohn unterschritten?; ","")&amp;IF(AND(Q232="Minijob (geringfügig)",ISNUMBER(BB232),BB232&gt;P_Minijob),"Minijob-Grenze überschritten; ","")&amp;IF(AND(R232="Ja",S232=""),"Befristung ohne Enddatum; ","")&amp;IF(AND(ISNUMBER(O232),ISNUMBER(N232),O232&lt;N232),"Austritt vor Eintritt; ","")&amp;IF(AND(ISNUMBER(AU232),ISNUMBER(AV232),AU232&lt;AV232),"Urlaub unter gesetzl. Minimum; ","")&amp;IF(AND(ISNUMBER(AC232),ISNUMBER(AF232),ABS(N(AC232)-N(AF232))&gt;0.01),"Wochenstd. weichen vom Modell ab; ","")&amp;IF(AND(AI232="Ja",OR(AJ232="",AK232="")),"Kontogrenzen fehlen; ","")&amp;IF(AND(AL232="Mit Gehalt abgegolten (Pauschale)",AM232=""),"Überstunden-Pauschale fehlt; ","")))</f>
        <v/>
      </c>
      <c r="BH232" s="38"/>
    </row>
    <row r="233" customFormat="false" ht="15" hidden="false" customHeight="false" outlineLevel="0" collapsed="false">
      <c r="A233" s="37"/>
      <c r="B233" s="38"/>
      <c r="C233" s="38"/>
      <c r="D233" s="38"/>
      <c r="E233" s="38"/>
      <c r="F233" s="39"/>
      <c r="G233" s="38"/>
      <c r="H233" s="38"/>
      <c r="I233" s="37"/>
      <c r="J233" s="38"/>
      <c r="K233" s="38"/>
      <c r="L233" s="38"/>
      <c r="M233" s="38"/>
      <c r="N233" s="39"/>
      <c r="O233" s="39"/>
      <c r="P233" s="38"/>
      <c r="Q233" s="38"/>
      <c r="R233" s="38"/>
      <c r="S233" s="39"/>
      <c r="T233" s="39"/>
      <c r="U233" s="38"/>
      <c r="V233" s="38"/>
      <c r="W233" s="37"/>
      <c r="X233" s="38"/>
      <c r="Y233" s="38"/>
      <c r="Z233" s="37"/>
      <c r="AA233" s="38"/>
      <c r="AB233" s="38"/>
      <c r="AC233" s="40"/>
      <c r="AD233" s="41"/>
      <c r="AE233" s="42" t="str">
        <f aca="false">IF(OR(A233="",NOT(ISNUMBER(AC233)),NOT(ISNUMBER(AD233))),"",IF(AD233&gt;0,AC233/AD233,""))</f>
        <v/>
      </c>
      <c r="AF233" s="42" t="str">
        <f aca="false">IF(OR(A233="",AB233=""),"",IFERROR(INDEX(Arbeitszeitmodelle!$C$5:$C$34,MATCH(AB233,Arbeitszeitmodelle!$A$5:$A$34,0)),""))</f>
        <v/>
      </c>
      <c r="AG233" s="38"/>
      <c r="AH233" s="38"/>
      <c r="AI233" s="38"/>
      <c r="AJ233" s="41"/>
      <c r="AK233" s="41"/>
      <c r="AL233" s="38"/>
      <c r="AM233" s="41"/>
      <c r="AN233" s="38"/>
      <c r="AO233" s="38"/>
      <c r="AP233" s="38"/>
      <c r="AQ233" s="38"/>
      <c r="AR233" s="41"/>
      <c r="AS233" s="40"/>
      <c r="AT233" s="39"/>
      <c r="AU233" s="41"/>
      <c r="AV233" s="43" t="str">
        <f aca="false">IF(OR(A233="",NOT(ISNUMBER(AD233))),"",P_MinUrlaubWerktage/6*AD233)</f>
        <v/>
      </c>
      <c r="AW233" s="43" t="str">
        <f aca="false">IF(A233="","",IF(M233="Ja",P_ZusatzSB*IF(ISNUMBER(AD233),AD233,5)/5,0))</f>
        <v/>
      </c>
      <c r="AX233" s="41"/>
      <c r="AY233" s="39"/>
      <c r="AZ233" s="43" t="str">
        <f aca="false">IF(OR(A233="",NOT(ISNUMBER(AU233))),"",SUM(AU233,AW233,AX233))</f>
        <v/>
      </c>
      <c r="BA233" s="38"/>
      <c r="BB233" s="44"/>
      <c r="BC233" s="44"/>
      <c r="BD233" s="45" t="str">
        <f aca="false">IF(A233="","",IF(BA233="Stundenlohn",IF(ISNUMBER(BC233),BC233,""),IF(AND(ISNUMBER(BB233),ISNUMBER(AC233)),IF(AC233&gt;0,BB233*12/(AC233*52),""),"")))</f>
        <v/>
      </c>
      <c r="BE233" s="46" t="str">
        <f aca="false">IF(OR(A233="",NOT(ISNUMBER(F233))),"",IFERROR(DATEDIF(F233,P_Stichtag,"Y"),""))</f>
        <v/>
      </c>
      <c r="BF233" s="47" t="str">
        <f aca="false">IF(OR(A233="",NOT(ISNUMBER(BE233))),"",IF(BE233&lt;18,"Ja","Nein"))</f>
        <v/>
      </c>
      <c r="BG233" s="48" t="str">
        <f aca="false">IF(A233="","",IF((IF(OR(B233="",C233="",F233="",N233="",Q233="",AB233="",AC233="",AD233="",AU233=""),"Pflichtfelder fehlen; ","")&amp;IF(AND(ISNUMBER(AC233),AC233&gt;P_MaxWoche),"Wochenstunden &gt; Prüfgrenze; ","")&amp;IF(AND(BF233="Ja",ISNUMBER(AC233),AC233&gt;P_MaxWocheJugend),"Jugendlicher &gt; 40 h/Woche; ","")&amp;IF(AND(ISNUMBER(BD233),BD233&lt;P_Mindestlohn,Q233&lt;&gt;"Auszubildende/r",Q233&lt;&gt;"Praktikant/in"),"Mindestlohn unterschritten?; ","")&amp;IF(AND(Q233="Minijob (geringfügig)",ISNUMBER(BB233),BB233&gt;P_Minijob),"Minijob-Grenze überschritten; ","")&amp;IF(AND(R233="Ja",S233=""),"Befristung ohne Enddatum; ","")&amp;IF(AND(ISNUMBER(O233),ISNUMBER(N233),O233&lt;N233),"Austritt vor Eintritt; ","")&amp;IF(AND(ISNUMBER(AU233),ISNUMBER(AV233),AU233&lt;AV233),"Urlaub unter gesetzl. Minimum; ","")&amp;IF(AND(ISNUMBER(AC233),ISNUMBER(AF233),ABS(N(AC233)-N(AF233))&gt;0.01),"Wochenstd. weichen vom Modell ab; ","")&amp;IF(AND(AI233="Ja",OR(AJ233="",AK233="")),"Kontogrenzen fehlen; ","")&amp;IF(AND(AL233="Mit Gehalt abgegolten (Pauschale)",AM233=""),"Überstunden-Pauschale fehlt; ",""))="","OK",IF(OR(B233="",C233="",F233="",N233="",Q233="",AB233="",AC233="",AD233="",AU233=""),"Pflichtfelder fehlen; ","")&amp;IF(AND(ISNUMBER(AC233),AC233&gt;P_MaxWoche),"Wochenstunden &gt; Prüfgrenze; ","")&amp;IF(AND(BF233="Ja",ISNUMBER(AC233),AC233&gt;P_MaxWocheJugend),"Jugendlicher &gt; 40 h/Woche; ","")&amp;IF(AND(ISNUMBER(BD233),BD233&lt;P_Mindestlohn,Q233&lt;&gt;"Auszubildende/r",Q233&lt;&gt;"Praktikant/in"),"Mindestlohn unterschritten?; ","")&amp;IF(AND(Q233="Minijob (geringfügig)",ISNUMBER(BB233),BB233&gt;P_Minijob),"Minijob-Grenze überschritten; ","")&amp;IF(AND(R233="Ja",S233=""),"Befristung ohne Enddatum; ","")&amp;IF(AND(ISNUMBER(O233),ISNUMBER(N233),O233&lt;N233),"Austritt vor Eintritt; ","")&amp;IF(AND(ISNUMBER(AU233),ISNUMBER(AV233),AU233&lt;AV233),"Urlaub unter gesetzl. Minimum; ","")&amp;IF(AND(ISNUMBER(AC233),ISNUMBER(AF233),ABS(N(AC233)-N(AF233))&gt;0.01),"Wochenstd. weichen vom Modell ab; ","")&amp;IF(AND(AI233="Ja",OR(AJ233="",AK233="")),"Kontogrenzen fehlen; ","")&amp;IF(AND(AL233="Mit Gehalt abgegolten (Pauschale)",AM233=""),"Überstunden-Pauschale fehlt; ","")))</f>
        <v/>
      </c>
      <c r="BH233" s="38"/>
    </row>
    <row r="234" customFormat="false" ht="15" hidden="false" customHeight="false" outlineLevel="0" collapsed="false">
      <c r="A234" s="37"/>
      <c r="B234" s="38"/>
      <c r="C234" s="38"/>
      <c r="D234" s="38"/>
      <c r="E234" s="38"/>
      <c r="F234" s="39"/>
      <c r="G234" s="38"/>
      <c r="H234" s="38"/>
      <c r="I234" s="37"/>
      <c r="J234" s="38"/>
      <c r="K234" s="38"/>
      <c r="L234" s="38"/>
      <c r="M234" s="38"/>
      <c r="N234" s="39"/>
      <c r="O234" s="39"/>
      <c r="P234" s="38"/>
      <c r="Q234" s="38"/>
      <c r="R234" s="38"/>
      <c r="S234" s="39"/>
      <c r="T234" s="39"/>
      <c r="U234" s="38"/>
      <c r="V234" s="38"/>
      <c r="W234" s="37"/>
      <c r="X234" s="38"/>
      <c r="Y234" s="38"/>
      <c r="Z234" s="37"/>
      <c r="AA234" s="38"/>
      <c r="AB234" s="38"/>
      <c r="AC234" s="40"/>
      <c r="AD234" s="41"/>
      <c r="AE234" s="42" t="str">
        <f aca="false">IF(OR(A234="",NOT(ISNUMBER(AC234)),NOT(ISNUMBER(AD234))),"",IF(AD234&gt;0,AC234/AD234,""))</f>
        <v/>
      </c>
      <c r="AF234" s="42" t="str">
        <f aca="false">IF(OR(A234="",AB234=""),"",IFERROR(INDEX(Arbeitszeitmodelle!$C$5:$C$34,MATCH(AB234,Arbeitszeitmodelle!$A$5:$A$34,0)),""))</f>
        <v/>
      </c>
      <c r="AG234" s="38"/>
      <c r="AH234" s="38"/>
      <c r="AI234" s="38"/>
      <c r="AJ234" s="41"/>
      <c r="AK234" s="41"/>
      <c r="AL234" s="38"/>
      <c r="AM234" s="41"/>
      <c r="AN234" s="38"/>
      <c r="AO234" s="38"/>
      <c r="AP234" s="38"/>
      <c r="AQ234" s="38"/>
      <c r="AR234" s="41"/>
      <c r="AS234" s="40"/>
      <c r="AT234" s="39"/>
      <c r="AU234" s="41"/>
      <c r="AV234" s="43" t="str">
        <f aca="false">IF(OR(A234="",NOT(ISNUMBER(AD234))),"",P_MinUrlaubWerktage/6*AD234)</f>
        <v/>
      </c>
      <c r="AW234" s="43" t="str">
        <f aca="false">IF(A234="","",IF(M234="Ja",P_ZusatzSB*IF(ISNUMBER(AD234),AD234,5)/5,0))</f>
        <v/>
      </c>
      <c r="AX234" s="41"/>
      <c r="AY234" s="39"/>
      <c r="AZ234" s="43" t="str">
        <f aca="false">IF(OR(A234="",NOT(ISNUMBER(AU234))),"",SUM(AU234,AW234,AX234))</f>
        <v/>
      </c>
      <c r="BA234" s="38"/>
      <c r="BB234" s="44"/>
      <c r="BC234" s="44"/>
      <c r="BD234" s="45" t="str">
        <f aca="false">IF(A234="","",IF(BA234="Stundenlohn",IF(ISNUMBER(BC234),BC234,""),IF(AND(ISNUMBER(BB234),ISNUMBER(AC234)),IF(AC234&gt;0,BB234*12/(AC234*52),""),"")))</f>
        <v/>
      </c>
      <c r="BE234" s="46" t="str">
        <f aca="false">IF(OR(A234="",NOT(ISNUMBER(F234))),"",IFERROR(DATEDIF(F234,P_Stichtag,"Y"),""))</f>
        <v/>
      </c>
      <c r="BF234" s="47" t="str">
        <f aca="false">IF(OR(A234="",NOT(ISNUMBER(BE234))),"",IF(BE234&lt;18,"Ja","Nein"))</f>
        <v/>
      </c>
      <c r="BG234" s="48" t="str">
        <f aca="false">IF(A234="","",IF((IF(OR(B234="",C234="",F234="",N234="",Q234="",AB234="",AC234="",AD234="",AU234=""),"Pflichtfelder fehlen; ","")&amp;IF(AND(ISNUMBER(AC234),AC234&gt;P_MaxWoche),"Wochenstunden &gt; Prüfgrenze; ","")&amp;IF(AND(BF234="Ja",ISNUMBER(AC234),AC234&gt;P_MaxWocheJugend),"Jugendlicher &gt; 40 h/Woche; ","")&amp;IF(AND(ISNUMBER(BD234),BD234&lt;P_Mindestlohn,Q234&lt;&gt;"Auszubildende/r",Q234&lt;&gt;"Praktikant/in"),"Mindestlohn unterschritten?; ","")&amp;IF(AND(Q234="Minijob (geringfügig)",ISNUMBER(BB234),BB234&gt;P_Minijob),"Minijob-Grenze überschritten; ","")&amp;IF(AND(R234="Ja",S234=""),"Befristung ohne Enddatum; ","")&amp;IF(AND(ISNUMBER(O234),ISNUMBER(N234),O234&lt;N234),"Austritt vor Eintritt; ","")&amp;IF(AND(ISNUMBER(AU234),ISNUMBER(AV234),AU234&lt;AV234),"Urlaub unter gesetzl. Minimum; ","")&amp;IF(AND(ISNUMBER(AC234),ISNUMBER(AF234),ABS(N(AC234)-N(AF234))&gt;0.01),"Wochenstd. weichen vom Modell ab; ","")&amp;IF(AND(AI234="Ja",OR(AJ234="",AK234="")),"Kontogrenzen fehlen; ","")&amp;IF(AND(AL234="Mit Gehalt abgegolten (Pauschale)",AM234=""),"Überstunden-Pauschale fehlt; ",""))="","OK",IF(OR(B234="",C234="",F234="",N234="",Q234="",AB234="",AC234="",AD234="",AU234=""),"Pflichtfelder fehlen; ","")&amp;IF(AND(ISNUMBER(AC234),AC234&gt;P_MaxWoche),"Wochenstunden &gt; Prüfgrenze; ","")&amp;IF(AND(BF234="Ja",ISNUMBER(AC234),AC234&gt;P_MaxWocheJugend),"Jugendlicher &gt; 40 h/Woche; ","")&amp;IF(AND(ISNUMBER(BD234),BD234&lt;P_Mindestlohn,Q234&lt;&gt;"Auszubildende/r",Q234&lt;&gt;"Praktikant/in"),"Mindestlohn unterschritten?; ","")&amp;IF(AND(Q234="Minijob (geringfügig)",ISNUMBER(BB234),BB234&gt;P_Minijob),"Minijob-Grenze überschritten; ","")&amp;IF(AND(R234="Ja",S234=""),"Befristung ohne Enddatum; ","")&amp;IF(AND(ISNUMBER(O234),ISNUMBER(N234),O234&lt;N234),"Austritt vor Eintritt; ","")&amp;IF(AND(ISNUMBER(AU234),ISNUMBER(AV234),AU234&lt;AV234),"Urlaub unter gesetzl. Minimum; ","")&amp;IF(AND(ISNUMBER(AC234),ISNUMBER(AF234),ABS(N(AC234)-N(AF234))&gt;0.01),"Wochenstd. weichen vom Modell ab; ","")&amp;IF(AND(AI234="Ja",OR(AJ234="",AK234="")),"Kontogrenzen fehlen; ","")&amp;IF(AND(AL234="Mit Gehalt abgegolten (Pauschale)",AM234=""),"Überstunden-Pauschale fehlt; ","")))</f>
        <v/>
      </c>
      <c r="BH234" s="38"/>
    </row>
    <row r="235" customFormat="false" ht="15" hidden="false" customHeight="false" outlineLevel="0" collapsed="false">
      <c r="A235" s="37"/>
      <c r="B235" s="38"/>
      <c r="C235" s="38"/>
      <c r="D235" s="38"/>
      <c r="E235" s="38"/>
      <c r="F235" s="39"/>
      <c r="G235" s="38"/>
      <c r="H235" s="38"/>
      <c r="I235" s="37"/>
      <c r="J235" s="38"/>
      <c r="K235" s="38"/>
      <c r="L235" s="38"/>
      <c r="M235" s="38"/>
      <c r="N235" s="39"/>
      <c r="O235" s="39"/>
      <c r="P235" s="38"/>
      <c r="Q235" s="38"/>
      <c r="R235" s="38"/>
      <c r="S235" s="39"/>
      <c r="T235" s="39"/>
      <c r="U235" s="38"/>
      <c r="V235" s="38"/>
      <c r="W235" s="37"/>
      <c r="X235" s="38"/>
      <c r="Y235" s="38"/>
      <c r="Z235" s="37"/>
      <c r="AA235" s="38"/>
      <c r="AB235" s="38"/>
      <c r="AC235" s="40"/>
      <c r="AD235" s="41"/>
      <c r="AE235" s="42" t="str">
        <f aca="false">IF(OR(A235="",NOT(ISNUMBER(AC235)),NOT(ISNUMBER(AD235))),"",IF(AD235&gt;0,AC235/AD235,""))</f>
        <v/>
      </c>
      <c r="AF235" s="42" t="str">
        <f aca="false">IF(OR(A235="",AB235=""),"",IFERROR(INDEX(Arbeitszeitmodelle!$C$5:$C$34,MATCH(AB235,Arbeitszeitmodelle!$A$5:$A$34,0)),""))</f>
        <v/>
      </c>
      <c r="AG235" s="38"/>
      <c r="AH235" s="38"/>
      <c r="AI235" s="38"/>
      <c r="AJ235" s="41"/>
      <c r="AK235" s="41"/>
      <c r="AL235" s="38"/>
      <c r="AM235" s="41"/>
      <c r="AN235" s="38"/>
      <c r="AO235" s="38"/>
      <c r="AP235" s="38"/>
      <c r="AQ235" s="38"/>
      <c r="AR235" s="41"/>
      <c r="AS235" s="40"/>
      <c r="AT235" s="39"/>
      <c r="AU235" s="41"/>
      <c r="AV235" s="43" t="str">
        <f aca="false">IF(OR(A235="",NOT(ISNUMBER(AD235))),"",P_MinUrlaubWerktage/6*AD235)</f>
        <v/>
      </c>
      <c r="AW235" s="43" t="str">
        <f aca="false">IF(A235="","",IF(M235="Ja",P_ZusatzSB*IF(ISNUMBER(AD235),AD235,5)/5,0))</f>
        <v/>
      </c>
      <c r="AX235" s="41"/>
      <c r="AY235" s="39"/>
      <c r="AZ235" s="43" t="str">
        <f aca="false">IF(OR(A235="",NOT(ISNUMBER(AU235))),"",SUM(AU235,AW235,AX235))</f>
        <v/>
      </c>
      <c r="BA235" s="38"/>
      <c r="BB235" s="44"/>
      <c r="BC235" s="44"/>
      <c r="BD235" s="45" t="str">
        <f aca="false">IF(A235="","",IF(BA235="Stundenlohn",IF(ISNUMBER(BC235),BC235,""),IF(AND(ISNUMBER(BB235),ISNUMBER(AC235)),IF(AC235&gt;0,BB235*12/(AC235*52),""),"")))</f>
        <v/>
      </c>
      <c r="BE235" s="46" t="str">
        <f aca="false">IF(OR(A235="",NOT(ISNUMBER(F235))),"",IFERROR(DATEDIF(F235,P_Stichtag,"Y"),""))</f>
        <v/>
      </c>
      <c r="BF235" s="47" t="str">
        <f aca="false">IF(OR(A235="",NOT(ISNUMBER(BE235))),"",IF(BE235&lt;18,"Ja","Nein"))</f>
        <v/>
      </c>
      <c r="BG235" s="48" t="str">
        <f aca="false">IF(A235="","",IF((IF(OR(B235="",C235="",F235="",N235="",Q235="",AB235="",AC235="",AD235="",AU235=""),"Pflichtfelder fehlen; ","")&amp;IF(AND(ISNUMBER(AC235),AC235&gt;P_MaxWoche),"Wochenstunden &gt; Prüfgrenze; ","")&amp;IF(AND(BF235="Ja",ISNUMBER(AC235),AC235&gt;P_MaxWocheJugend),"Jugendlicher &gt; 40 h/Woche; ","")&amp;IF(AND(ISNUMBER(BD235),BD235&lt;P_Mindestlohn,Q235&lt;&gt;"Auszubildende/r",Q235&lt;&gt;"Praktikant/in"),"Mindestlohn unterschritten?; ","")&amp;IF(AND(Q235="Minijob (geringfügig)",ISNUMBER(BB235),BB235&gt;P_Minijob),"Minijob-Grenze überschritten; ","")&amp;IF(AND(R235="Ja",S235=""),"Befristung ohne Enddatum; ","")&amp;IF(AND(ISNUMBER(O235),ISNUMBER(N235),O235&lt;N235),"Austritt vor Eintritt; ","")&amp;IF(AND(ISNUMBER(AU235),ISNUMBER(AV235),AU235&lt;AV235),"Urlaub unter gesetzl. Minimum; ","")&amp;IF(AND(ISNUMBER(AC235),ISNUMBER(AF235),ABS(N(AC235)-N(AF235))&gt;0.01),"Wochenstd. weichen vom Modell ab; ","")&amp;IF(AND(AI235="Ja",OR(AJ235="",AK235="")),"Kontogrenzen fehlen; ","")&amp;IF(AND(AL235="Mit Gehalt abgegolten (Pauschale)",AM235=""),"Überstunden-Pauschale fehlt; ",""))="","OK",IF(OR(B235="",C235="",F235="",N235="",Q235="",AB235="",AC235="",AD235="",AU235=""),"Pflichtfelder fehlen; ","")&amp;IF(AND(ISNUMBER(AC235),AC235&gt;P_MaxWoche),"Wochenstunden &gt; Prüfgrenze; ","")&amp;IF(AND(BF235="Ja",ISNUMBER(AC235),AC235&gt;P_MaxWocheJugend),"Jugendlicher &gt; 40 h/Woche; ","")&amp;IF(AND(ISNUMBER(BD235),BD235&lt;P_Mindestlohn,Q235&lt;&gt;"Auszubildende/r",Q235&lt;&gt;"Praktikant/in"),"Mindestlohn unterschritten?; ","")&amp;IF(AND(Q235="Minijob (geringfügig)",ISNUMBER(BB235),BB235&gt;P_Minijob),"Minijob-Grenze überschritten; ","")&amp;IF(AND(R235="Ja",S235=""),"Befristung ohne Enddatum; ","")&amp;IF(AND(ISNUMBER(O235),ISNUMBER(N235),O235&lt;N235),"Austritt vor Eintritt; ","")&amp;IF(AND(ISNUMBER(AU235),ISNUMBER(AV235),AU235&lt;AV235),"Urlaub unter gesetzl. Minimum; ","")&amp;IF(AND(ISNUMBER(AC235),ISNUMBER(AF235),ABS(N(AC235)-N(AF235))&gt;0.01),"Wochenstd. weichen vom Modell ab; ","")&amp;IF(AND(AI235="Ja",OR(AJ235="",AK235="")),"Kontogrenzen fehlen; ","")&amp;IF(AND(AL235="Mit Gehalt abgegolten (Pauschale)",AM235=""),"Überstunden-Pauschale fehlt; ","")))</f>
        <v/>
      </c>
      <c r="BH235" s="38"/>
    </row>
    <row r="236" customFormat="false" ht="15" hidden="false" customHeight="false" outlineLevel="0" collapsed="false">
      <c r="A236" s="37"/>
      <c r="B236" s="38"/>
      <c r="C236" s="38"/>
      <c r="D236" s="38"/>
      <c r="E236" s="38"/>
      <c r="F236" s="39"/>
      <c r="G236" s="38"/>
      <c r="H236" s="38"/>
      <c r="I236" s="37"/>
      <c r="J236" s="38"/>
      <c r="K236" s="38"/>
      <c r="L236" s="38"/>
      <c r="M236" s="38"/>
      <c r="N236" s="39"/>
      <c r="O236" s="39"/>
      <c r="P236" s="38"/>
      <c r="Q236" s="38"/>
      <c r="R236" s="38"/>
      <c r="S236" s="39"/>
      <c r="T236" s="39"/>
      <c r="U236" s="38"/>
      <c r="V236" s="38"/>
      <c r="W236" s="37"/>
      <c r="X236" s="38"/>
      <c r="Y236" s="38"/>
      <c r="Z236" s="37"/>
      <c r="AA236" s="38"/>
      <c r="AB236" s="38"/>
      <c r="AC236" s="40"/>
      <c r="AD236" s="41"/>
      <c r="AE236" s="42" t="str">
        <f aca="false">IF(OR(A236="",NOT(ISNUMBER(AC236)),NOT(ISNUMBER(AD236))),"",IF(AD236&gt;0,AC236/AD236,""))</f>
        <v/>
      </c>
      <c r="AF236" s="42" t="str">
        <f aca="false">IF(OR(A236="",AB236=""),"",IFERROR(INDEX(Arbeitszeitmodelle!$C$5:$C$34,MATCH(AB236,Arbeitszeitmodelle!$A$5:$A$34,0)),""))</f>
        <v/>
      </c>
      <c r="AG236" s="38"/>
      <c r="AH236" s="38"/>
      <c r="AI236" s="38"/>
      <c r="AJ236" s="41"/>
      <c r="AK236" s="41"/>
      <c r="AL236" s="38"/>
      <c r="AM236" s="41"/>
      <c r="AN236" s="38"/>
      <c r="AO236" s="38"/>
      <c r="AP236" s="38"/>
      <c r="AQ236" s="38"/>
      <c r="AR236" s="41"/>
      <c r="AS236" s="40"/>
      <c r="AT236" s="39"/>
      <c r="AU236" s="41"/>
      <c r="AV236" s="43" t="str">
        <f aca="false">IF(OR(A236="",NOT(ISNUMBER(AD236))),"",P_MinUrlaubWerktage/6*AD236)</f>
        <v/>
      </c>
      <c r="AW236" s="43" t="str">
        <f aca="false">IF(A236="","",IF(M236="Ja",P_ZusatzSB*IF(ISNUMBER(AD236),AD236,5)/5,0))</f>
        <v/>
      </c>
      <c r="AX236" s="41"/>
      <c r="AY236" s="39"/>
      <c r="AZ236" s="43" t="str">
        <f aca="false">IF(OR(A236="",NOT(ISNUMBER(AU236))),"",SUM(AU236,AW236,AX236))</f>
        <v/>
      </c>
      <c r="BA236" s="38"/>
      <c r="BB236" s="44"/>
      <c r="BC236" s="44"/>
      <c r="BD236" s="45" t="str">
        <f aca="false">IF(A236="","",IF(BA236="Stundenlohn",IF(ISNUMBER(BC236),BC236,""),IF(AND(ISNUMBER(BB236),ISNUMBER(AC236)),IF(AC236&gt;0,BB236*12/(AC236*52),""),"")))</f>
        <v/>
      </c>
      <c r="BE236" s="46" t="str">
        <f aca="false">IF(OR(A236="",NOT(ISNUMBER(F236))),"",IFERROR(DATEDIF(F236,P_Stichtag,"Y"),""))</f>
        <v/>
      </c>
      <c r="BF236" s="47" t="str">
        <f aca="false">IF(OR(A236="",NOT(ISNUMBER(BE236))),"",IF(BE236&lt;18,"Ja","Nein"))</f>
        <v/>
      </c>
      <c r="BG236" s="48" t="str">
        <f aca="false">IF(A236="","",IF((IF(OR(B236="",C236="",F236="",N236="",Q236="",AB236="",AC236="",AD236="",AU236=""),"Pflichtfelder fehlen; ","")&amp;IF(AND(ISNUMBER(AC236),AC236&gt;P_MaxWoche),"Wochenstunden &gt; Prüfgrenze; ","")&amp;IF(AND(BF236="Ja",ISNUMBER(AC236),AC236&gt;P_MaxWocheJugend),"Jugendlicher &gt; 40 h/Woche; ","")&amp;IF(AND(ISNUMBER(BD236),BD236&lt;P_Mindestlohn,Q236&lt;&gt;"Auszubildende/r",Q236&lt;&gt;"Praktikant/in"),"Mindestlohn unterschritten?; ","")&amp;IF(AND(Q236="Minijob (geringfügig)",ISNUMBER(BB236),BB236&gt;P_Minijob),"Minijob-Grenze überschritten; ","")&amp;IF(AND(R236="Ja",S236=""),"Befristung ohne Enddatum; ","")&amp;IF(AND(ISNUMBER(O236),ISNUMBER(N236),O236&lt;N236),"Austritt vor Eintritt; ","")&amp;IF(AND(ISNUMBER(AU236),ISNUMBER(AV236),AU236&lt;AV236),"Urlaub unter gesetzl. Minimum; ","")&amp;IF(AND(ISNUMBER(AC236),ISNUMBER(AF236),ABS(N(AC236)-N(AF236))&gt;0.01),"Wochenstd. weichen vom Modell ab; ","")&amp;IF(AND(AI236="Ja",OR(AJ236="",AK236="")),"Kontogrenzen fehlen; ","")&amp;IF(AND(AL236="Mit Gehalt abgegolten (Pauschale)",AM236=""),"Überstunden-Pauschale fehlt; ",""))="","OK",IF(OR(B236="",C236="",F236="",N236="",Q236="",AB236="",AC236="",AD236="",AU236=""),"Pflichtfelder fehlen; ","")&amp;IF(AND(ISNUMBER(AC236),AC236&gt;P_MaxWoche),"Wochenstunden &gt; Prüfgrenze; ","")&amp;IF(AND(BF236="Ja",ISNUMBER(AC236),AC236&gt;P_MaxWocheJugend),"Jugendlicher &gt; 40 h/Woche; ","")&amp;IF(AND(ISNUMBER(BD236),BD236&lt;P_Mindestlohn,Q236&lt;&gt;"Auszubildende/r",Q236&lt;&gt;"Praktikant/in"),"Mindestlohn unterschritten?; ","")&amp;IF(AND(Q236="Minijob (geringfügig)",ISNUMBER(BB236),BB236&gt;P_Minijob),"Minijob-Grenze überschritten; ","")&amp;IF(AND(R236="Ja",S236=""),"Befristung ohne Enddatum; ","")&amp;IF(AND(ISNUMBER(O236),ISNUMBER(N236),O236&lt;N236),"Austritt vor Eintritt; ","")&amp;IF(AND(ISNUMBER(AU236),ISNUMBER(AV236),AU236&lt;AV236),"Urlaub unter gesetzl. Minimum; ","")&amp;IF(AND(ISNUMBER(AC236),ISNUMBER(AF236),ABS(N(AC236)-N(AF236))&gt;0.01),"Wochenstd. weichen vom Modell ab; ","")&amp;IF(AND(AI236="Ja",OR(AJ236="",AK236="")),"Kontogrenzen fehlen; ","")&amp;IF(AND(AL236="Mit Gehalt abgegolten (Pauschale)",AM236=""),"Überstunden-Pauschale fehlt; ","")))</f>
        <v/>
      </c>
      <c r="BH236" s="38"/>
    </row>
    <row r="237" customFormat="false" ht="15" hidden="false" customHeight="false" outlineLevel="0" collapsed="false">
      <c r="A237" s="37"/>
      <c r="B237" s="38"/>
      <c r="C237" s="38"/>
      <c r="D237" s="38"/>
      <c r="E237" s="38"/>
      <c r="F237" s="39"/>
      <c r="G237" s="38"/>
      <c r="H237" s="38"/>
      <c r="I237" s="37"/>
      <c r="J237" s="38"/>
      <c r="K237" s="38"/>
      <c r="L237" s="38"/>
      <c r="M237" s="38"/>
      <c r="N237" s="39"/>
      <c r="O237" s="39"/>
      <c r="P237" s="38"/>
      <c r="Q237" s="38"/>
      <c r="R237" s="38"/>
      <c r="S237" s="39"/>
      <c r="T237" s="39"/>
      <c r="U237" s="38"/>
      <c r="V237" s="38"/>
      <c r="W237" s="37"/>
      <c r="X237" s="38"/>
      <c r="Y237" s="38"/>
      <c r="Z237" s="37"/>
      <c r="AA237" s="38"/>
      <c r="AB237" s="38"/>
      <c r="AC237" s="40"/>
      <c r="AD237" s="41"/>
      <c r="AE237" s="42" t="str">
        <f aca="false">IF(OR(A237="",NOT(ISNUMBER(AC237)),NOT(ISNUMBER(AD237))),"",IF(AD237&gt;0,AC237/AD237,""))</f>
        <v/>
      </c>
      <c r="AF237" s="42" t="str">
        <f aca="false">IF(OR(A237="",AB237=""),"",IFERROR(INDEX(Arbeitszeitmodelle!$C$5:$C$34,MATCH(AB237,Arbeitszeitmodelle!$A$5:$A$34,0)),""))</f>
        <v/>
      </c>
      <c r="AG237" s="38"/>
      <c r="AH237" s="38"/>
      <c r="AI237" s="38"/>
      <c r="AJ237" s="41"/>
      <c r="AK237" s="41"/>
      <c r="AL237" s="38"/>
      <c r="AM237" s="41"/>
      <c r="AN237" s="38"/>
      <c r="AO237" s="38"/>
      <c r="AP237" s="38"/>
      <c r="AQ237" s="38"/>
      <c r="AR237" s="41"/>
      <c r="AS237" s="40"/>
      <c r="AT237" s="39"/>
      <c r="AU237" s="41"/>
      <c r="AV237" s="43" t="str">
        <f aca="false">IF(OR(A237="",NOT(ISNUMBER(AD237))),"",P_MinUrlaubWerktage/6*AD237)</f>
        <v/>
      </c>
      <c r="AW237" s="43" t="str">
        <f aca="false">IF(A237="","",IF(M237="Ja",P_ZusatzSB*IF(ISNUMBER(AD237),AD237,5)/5,0))</f>
        <v/>
      </c>
      <c r="AX237" s="41"/>
      <c r="AY237" s="39"/>
      <c r="AZ237" s="43" t="str">
        <f aca="false">IF(OR(A237="",NOT(ISNUMBER(AU237))),"",SUM(AU237,AW237,AX237))</f>
        <v/>
      </c>
      <c r="BA237" s="38"/>
      <c r="BB237" s="44"/>
      <c r="BC237" s="44"/>
      <c r="BD237" s="45" t="str">
        <f aca="false">IF(A237="","",IF(BA237="Stundenlohn",IF(ISNUMBER(BC237),BC237,""),IF(AND(ISNUMBER(BB237),ISNUMBER(AC237)),IF(AC237&gt;0,BB237*12/(AC237*52),""),"")))</f>
        <v/>
      </c>
      <c r="BE237" s="46" t="str">
        <f aca="false">IF(OR(A237="",NOT(ISNUMBER(F237))),"",IFERROR(DATEDIF(F237,P_Stichtag,"Y"),""))</f>
        <v/>
      </c>
      <c r="BF237" s="47" t="str">
        <f aca="false">IF(OR(A237="",NOT(ISNUMBER(BE237))),"",IF(BE237&lt;18,"Ja","Nein"))</f>
        <v/>
      </c>
      <c r="BG237" s="48" t="str">
        <f aca="false">IF(A237="","",IF((IF(OR(B237="",C237="",F237="",N237="",Q237="",AB237="",AC237="",AD237="",AU237=""),"Pflichtfelder fehlen; ","")&amp;IF(AND(ISNUMBER(AC237),AC237&gt;P_MaxWoche),"Wochenstunden &gt; Prüfgrenze; ","")&amp;IF(AND(BF237="Ja",ISNUMBER(AC237),AC237&gt;P_MaxWocheJugend),"Jugendlicher &gt; 40 h/Woche; ","")&amp;IF(AND(ISNUMBER(BD237),BD237&lt;P_Mindestlohn,Q237&lt;&gt;"Auszubildende/r",Q237&lt;&gt;"Praktikant/in"),"Mindestlohn unterschritten?; ","")&amp;IF(AND(Q237="Minijob (geringfügig)",ISNUMBER(BB237),BB237&gt;P_Minijob),"Minijob-Grenze überschritten; ","")&amp;IF(AND(R237="Ja",S237=""),"Befristung ohne Enddatum; ","")&amp;IF(AND(ISNUMBER(O237),ISNUMBER(N237),O237&lt;N237),"Austritt vor Eintritt; ","")&amp;IF(AND(ISNUMBER(AU237),ISNUMBER(AV237),AU237&lt;AV237),"Urlaub unter gesetzl. Minimum; ","")&amp;IF(AND(ISNUMBER(AC237),ISNUMBER(AF237),ABS(N(AC237)-N(AF237))&gt;0.01),"Wochenstd. weichen vom Modell ab; ","")&amp;IF(AND(AI237="Ja",OR(AJ237="",AK237="")),"Kontogrenzen fehlen; ","")&amp;IF(AND(AL237="Mit Gehalt abgegolten (Pauschale)",AM237=""),"Überstunden-Pauschale fehlt; ",""))="","OK",IF(OR(B237="",C237="",F237="",N237="",Q237="",AB237="",AC237="",AD237="",AU237=""),"Pflichtfelder fehlen; ","")&amp;IF(AND(ISNUMBER(AC237),AC237&gt;P_MaxWoche),"Wochenstunden &gt; Prüfgrenze; ","")&amp;IF(AND(BF237="Ja",ISNUMBER(AC237),AC237&gt;P_MaxWocheJugend),"Jugendlicher &gt; 40 h/Woche; ","")&amp;IF(AND(ISNUMBER(BD237),BD237&lt;P_Mindestlohn,Q237&lt;&gt;"Auszubildende/r",Q237&lt;&gt;"Praktikant/in"),"Mindestlohn unterschritten?; ","")&amp;IF(AND(Q237="Minijob (geringfügig)",ISNUMBER(BB237),BB237&gt;P_Minijob),"Minijob-Grenze überschritten; ","")&amp;IF(AND(R237="Ja",S237=""),"Befristung ohne Enddatum; ","")&amp;IF(AND(ISNUMBER(O237),ISNUMBER(N237),O237&lt;N237),"Austritt vor Eintritt; ","")&amp;IF(AND(ISNUMBER(AU237),ISNUMBER(AV237),AU237&lt;AV237),"Urlaub unter gesetzl. Minimum; ","")&amp;IF(AND(ISNUMBER(AC237),ISNUMBER(AF237),ABS(N(AC237)-N(AF237))&gt;0.01),"Wochenstd. weichen vom Modell ab; ","")&amp;IF(AND(AI237="Ja",OR(AJ237="",AK237="")),"Kontogrenzen fehlen; ","")&amp;IF(AND(AL237="Mit Gehalt abgegolten (Pauschale)",AM237=""),"Überstunden-Pauschale fehlt; ","")))</f>
        <v/>
      </c>
      <c r="BH237" s="38"/>
    </row>
    <row r="238" customFormat="false" ht="15" hidden="false" customHeight="false" outlineLevel="0" collapsed="false">
      <c r="A238" s="37"/>
      <c r="B238" s="38"/>
      <c r="C238" s="38"/>
      <c r="D238" s="38"/>
      <c r="E238" s="38"/>
      <c r="F238" s="39"/>
      <c r="G238" s="38"/>
      <c r="H238" s="38"/>
      <c r="I238" s="37"/>
      <c r="J238" s="38"/>
      <c r="K238" s="38"/>
      <c r="L238" s="38"/>
      <c r="M238" s="38"/>
      <c r="N238" s="39"/>
      <c r="O238" s="39"/>
      <c r="P238" s="38"/>
      <c r="Q238" s="38"/>
      <c r="R238" s="38"/>
      <c r="S238" s="39"/>
      <c r="T238" s="39"/>
      <c r="U238" s="38"/>
      <c r="V238" s="38"/>
      <c r="W238" s="37"/>
      <c r="X238" s="38"/>
      <c r="Y238" s="38"/>
      <c r="Z238" s="37"/>
      <c r="AA238" s="38"/>
      <c r="AB238" s="38"/>
      <c r="AC238" s="40"/>
      <c r="AD238" s="41"/>
      <c r="AE238" s="42" t="str">
        <f aca="false">IF(OR(A238="",NOT(ISNUMBER(AC238)),NOT(ISNUMBER(AD238))),"",IF(AD238&gt;0,AC238/AD238,""))</f>
        <v/>
      </c>
      <c r="AF238" s="42" t="str">
        <f aca="false">IF(OR(A238="",AB238=""),"",IFERROR(INDEX(Arbeitszeitmodelle!$C$5:$C$34,MATCH(AB238,Arbeitszeitmodelle!$A$5:$A$34,0)),""))</f>
        <v/>
      </c>
      <c r="AG238" s="38"/>
      <c r="AH238" s="38"/>
      <c r="AI238" s="38"/>
      <c r="AJ238" s="41"/>
      <c r="AK238" s="41"/>
      <c r="AL238" s="38"/>
      <c r="AM238" s="41"/>
      <c r="AN238" s="38"/>
      <c r="AO238" s="38"/>
      <c r="AP238" s="38"/>
      <c r="AQ238" s="38"/>
      <c r="AR238" s="41"/>
      <c r="AS238" s="40"/>
      <c r="AT238" s="39"/>
      <c r="AU238" s="41"/>
      <c r="AV238" s="43" t="str">
        <f aca="false">IF(OR(A238="",NOT(ISNUMBER(AD238))),"",P_MinUrlaubWerktage/6*AD238)</f>
        <v/>
      </c>
      <c r="AW238" s="43" t="str">
        <f aca="false">IF(A238="","",IF(M238="Ja",P_ZusatzSB*IF(ISNUMBER(AD238),AD238,5)/5,0))</f>
        <v/>
      </c>
      <c r="AX238" s="41"/>
      <c r="AY238" s="39"/>
      <c r="AZ238" s="43" t="str">
        <f aca="false">IF(OR(A238="",NOT(ISNUMBER(AU238))),"",SUM(AU238,AW238,AX238))</f>
        <v/>
      </c>
      <c r="BA238" s="38"/>
      <c r="BB238" s="44"/>
      <c r="BC238" s="44"/>
      <c r="BD238" s="45" t="str">
        <f aca="false">IF(A238="","",IF(BA238="Stundenlohn",IF(ISNUMBER(BC238),BC238,""),IF(AND(ISNUMBER(BB238),ISNUMBER(AC238)),IF(AC238&gt;0,BB238*12/(AC238*52),""),"")))</f>
        <v/>
      </c>
      <c r="BE238" s="46" t="str">
        <f aca="false">IF(OR(A238="",NOT(ISNUMBER(F238))),"",IFERROR(DATEDIF(F238,P_Stichtag,"Y"),""))</f>
        <v/>
      </c>
      <c r="BF238" s="47" t="str">
        <f aca="false">IF(OR(A238="",NOT(ISNUMBER(BE238))),"",IF(BE238&lt;18,"Ja","Nein"))</f>
        <v/>
      </c>
      <c r="BG238" s="48" t="str">
        <f aca="false">IF(A238="","",IF((IF(OR(B238="",C238="",F238="",N238="",Q238="",AB238="",AC238="",AD238="",AU238=""),"Pflichtfelder fehlen; ","")&amp;IF(AND(ISNUMBER(AC238),AC238&gt;P_MaxWoche),"Wochenstunden &gt; Prüfgrenze; ","")&amp;IF(AND(BF238="Ja",ISNUMBER(AC238),AC238&gt;P_MaxWocheJugend),"Jugendlicher &gt; 40 h/Woche; ","")&amp;IF(AND(ISNUMBER(BD238),BD238&lt;P_Mindestlohn,Q238&lt;&gt;"Auszubildende/r",Q238&lt;&gt;"Praktikant/in"),"Mindestlohn unterschritten?; ","")&amp;IF(AND(Q238="Minijob (geringfügig)",ISNUMBER(BB238),BB238&gt;P_Minijob),"Minijob-Grenze überschritten; ","")&amp;IF(AND(R238="Ja",S238=""),"Befristung ohne Enddatum; ","")&amp;IF(AND(ISNUMBER(O238),ISNUMBER(N238),O238&lt;N238),"Austritt vor Eintritt; ","")&amp;IF(AND(ISNUMBER(AU238),ISNUMBER(AV238),AU238&lt;AV238),"Urlaub unter gesetzl. Minimum; ","")&amp;IF(AND(ISNUMBER(AC238),ISNUMBER(AF238),ABS(N(AC238)-N(AF238))&gt;0.01),"Wochenstd. weichen vom Modell ab; ","")&amp;IF(AND(AI238="Ja",OR(AJ238="",AK238="")),"Kontogrenzen fehlen; ","")&amp;IF(AND(AL238="Mit Gehalt abgegolten (Pauschale)",AM238=""),"Überstunden-Pauschale fehlt; ",""))="","OK",IF(OR(B238="",C238="",F238="",N238="",Q238="",AB238="",AC238="",AD238="",AU238=""),"Pflichtfelder fehlen; ","")&amp;IF(AND(ISNUMBER(AC238),AC238&gt;P_MaxWoche),"Wochenstunden &gt; Prüfgrenze; ","")&amp;IF(AND(BF238="Ja",ISNUMBER(AC238),AC238&gt;P_MaxWocheJugend),"Jugendlicher &gt; 40 h/Woche; ","")&amp;IF(AND(ISNUMBER(BD238),BD238&lt;P_Mindestlohn,Q238&lt;&gt;"Auszubildende/r",Q238&lt;&gt;"Praktikant/in"),"Mindestlohn unterschritten?; ","")&amp;IF(AND(Q238="Minijob (geringfügig)",ISNUMBER(BB238),BB238&gt;P_Minijob),"Minijob-Grenze überschritten; ","")&amp;IF(AND(R238="Ja",S238=""),"Befristung ohne Enddatum; ","")&amp;IF(AND(ISNUMBER(O238),ISNUMBER(N238),O238&lt;N238),"Austritt vor Eintritt; ","")&amp;IF(AND(ISNUMBER(AU238),ISNUMBER(AV238),AU238&lt;AV238),"Urlaub unter gesetzl. Minimum; ","")&amp;IF(AND(ISNUMBER(AC238),ISNUMBER(AF238),ABS(N(AC238)-N(AF238))&gt;0.01),"Wochenstd. weichen vom Modell ab; ","")&amp;IF(AND(AI238="Ja",OR(AJ238="",AK238="")),"Kontogrenzen fehlen; ","")&amp;IF(AND(AL238="Mit Gehalt abgegolten (Pauschale)",AM238=""),"Überstunden-Pauschale fehlt; ","")))</f>
        <v/>
      </c>
      <c r="BH238" s="38"/>
    </row>
    <row r="239" customFormat="false" ht="15" hidden="false" customHeight="false" outlineLevel="0" collapsed="false">
      <c r="A239" s="37"/>
      <c r="B239" s="38"/>
      <c r="C239" s="38"/>
      <c r="D239" s="38"/>
      <c r="E239" s="38"/>
      <c r="F239" s="39"/>
      <c r="G239" s="38"/>
      <c r="H239" s="38"/>
      <c r="I239" s="37"/>
      <c r="J239" s="38"/>
      <c r="K239" s="38"/>
      <c r="L239" s="38"/>
      <c r="M239" s="38"/>
      <c r="N239" s="39"/>
      <c r="O239" s="39"/>
      <c r="P239" s="38"/>
      <c r="Q239" s="38"/>
      <c r="R239" s="38"/>
      <c r="S239" s="39"/>
      <c r="T239" s="39"/>
      <c r="U239" s="38"/>
      <c r="V239" s="38"/>
      <c r="W239" s="37"/>
      <c r="X239" s="38"/>
      <c r="Y239" s="38"/>
      <c r="Z239" s="37"/>
      <c r="AA239" s="38"/>
      <c r="AB239" s="38"/>
      <c r="AC239" s="40"/>
      <c r="AD239" s="41"/>
      <c r="AE239" s="42" t="str">
        <f aca="false">IF(OR(A239="",NOT(ISNUMBER(AC239)),NOT(ISNUMBER(AD239))),"",IF(AD239&gt;0,AC239/AD239,""))</f>
        <v/>
      </c>
      <c r="AF239" s="42" t="str">
        <f aca="false">IF(OR(A239="",AB239=""),"",IFERROR(INDEX(Arbeitszeitmodelle!$C$5:$C$34,MATCH(AB239,Arbeitszeitmodelle!$A$5:$A$34,0)),""))</f>
        <v/>
      </c>
      <c r="AG239" s="38"/>
      <c r="AH239" s="38"/>
      <c r="AI239" s="38"/>
      <c r="AJ239" s="41"/>
      <c r="AK239" s="41"/>
      <c r="AL239" s="38"/>
      <c r="AM239" s="41"/>
      <c r="AN239" s="38"/>
      <c r="AO239" s="38"/>
      <c r="AP239" s="38"/>
      <c r="AQ239" s="38"/>
      <c r="AR239" s="41"/>
      <c r="AS239" s="40"/>
      <c r="AT239" s="39"/>
      <c r="AU239" s="41"/>
      <c r="AV239" s="43" t="str">
        <f aca="false">IF(OR(A239="",NOT(ISNUMBER(AD239))),"",P_MinUrlaubWerktage/6*AD239)</f>
        <v/>
      </c>
      <c r="AW239" s="43" t="str">
        <f aca="false">IF(A239="","",IF(M239="Ja",P_ZusatzSB*IF(ISNUMBER(AD239),AD239,5)/5,0))</f>
        <v/>
      </c>
      <c r="AX239" s="41"/>
      <c r="AY239" s="39"/>
      <c r="AZ239" s="43" t="str">
        <f aca="false">IF(OR(A239="",NOT(ISNUMBER(AU239))),"",SUM(AU239,AW239,AX239))</f>
        <v/>
      </c>
      <c r="BA239" s="38"/>
      <c r="BB239" s="44"/>
      <c r="BC239" s="44"/>
      <c r="BD239" s="45" t="str">
        <f aca="false">IF(A239="","",IF(BA239="Stundenlohn",IF(ISNUMBER(BC239),BC239,""),IF(AND(ISNUMBER(BB239),ISNUMBER(AC239)),IF(AC239&gt;0,BB239*12/(AC239*52),""),"")))</f>
        <v/>
      </c>
      <c r="BE239" s="46" t="str">
        <f aca="false">IF(OR(A239="",NOT(ISNUMBER(F239))),"",IFERROR(DATEDIF(F239,P_Stichtag,"Y"),""))</f>
        <v/>
      </c>
      <c r="BF239" s="47" t="str">
        <f aca="false">IF(OR(A239="",NOT(ISNUMBER(BE239))),"",IF(BE239&lt;18,"Ja","Nein"))</f>
        <v/>
      </c>
      <c r="BG239" s="48" t="str">
        <f aca="false">IF(A239="","",IF((IF(OR(B239="",C239="",F239="",N239="",Q239="",AB239="",AC239="",AD239="",AU239=""),"Pflichtfelder fehlen; ","")&amp;IF(AND(ISNUMBER(AC239),AC239&gt;P_MaxWoche),"Wochenstunden &gt; Prüfgrenze; ","")&amp;IF(AND(BF239="Ja",ISNUMBER(AC239),AC239&gt;P_MaxWocheJugend),"Jugendlicher &gt; 40 h/Woche; ","")&amp;IF(AND(ISNUMBER(BD239),BD239&lt;P_Mindestlohn,Q239&lt;&gt;"Auszubildende/r",Q239&lt;&gt;"Praktikant/in"),"Mindestlohn unterschritten?; ","")&amp;IF(AND(Q239="Minijob (geringfügig)",ISNUMBER(BB239),BB239&gt;P_Minijob),"Minijob-Grenze überschritten; ","")&amp;IF(AND(R239="Ja",S239=""),"Befristung ohne Enddatum; ","")&amp;IF(AND(ISNUMBER(O239),ISNUMBER(N239),O239&lt;N239),"Austritt vor Eintritt; ","")&amp;IF(AND(ISNUMBER(AU239),ISNUMBER(AV239),AU239&lt;AV239),"Urlaub unter gesetzl. Minimum; ","")&amp;IF(AND(ISNUMBER(AC239),ISNUMBER(AF239),ABS(N(AC239)-N(AF239))&gt;0.01),"Wochenstd. weichen vom Modell ab; ","")&amp;IF(AND(AI239="Ja",OR(AJ239="",AK239="")),"Kontogrenzen fehlen; ","")&amp;IF(AND(AL239="Mit Gehalt abgegolten (Pauschale)",AM239=""),"Überstunden-Pauschale fehlt; ",""))="","OK",IF(OR(B239="",C239="",F239="",N239="",Q239="",AB239="",AC239="",AD239="",AU239=""),"Pflichtfelder fehlen; ","")&amp;IF(AND(ISNUMBER(AC239),AC239&gt;P_MaxWoche),"Wochenstunden &gt; Prüfgrenze; ","")&amp;IF(AND(BF239="Ja",ISNUMBER(AC239),AC239&gt;P_MaxWocheJugend),"Jugendlicher &gt; 40 h/Woche; ","")&amp;IF(AND(ISNUMBER(BD239),BD239&lt;P_Mindestlohn,Q239&lt;&gt;"Auszubildende/r",Q239&lt;&gt;"Praktikant/in"),"Mindestlohn unterschritten?; ","")&amp;IF(AND(Q239="Minijob (geringfügig)",ISNUMBER(BB239),BB239&gt;P_Minijob),"Minijob-Grenze überschritten; ","")&amp;IF(AND(R239="Ja",S239=""),"Befristung ohne Enddatum; ","")&amp;IF(AND(ISNUMBER(O239),ISNUMBER(N239),O239&lt;N239),"Austritt vor Eintritt; ","")&amp;IF(AND(ISNUMBER(AU239),ISNUMBER(AV239),AU239&lt;AV239),"Urlaub unter gesetzl. Minimum; ","")&amp;IF(AND(ISNUMBER(AC239),ISNUMBER(AF239),ABS(N(AC239)-N(AF239))&gt;0.01),"Wochenstd. weichen vom Modell ab; ","")&amp;IF(AND(AI239="Ja",OR(AJ239="",AK239="")),"Kontogrenzen fehlen; ","")&amp;IF(AND(AL239="Mit Gehalt abgegolten (Pauschale)",AM239=""),"Überstunden-Pauschale fehlt; ","")))</f>
        <v/>
      </c>
      <c r="BH239" s="38"/>
    </row>
    <row r="240" customFormat="false" ht="15" hidden="false" customHeight="false" outlineLevel="0" collapsed="false">
      <c r="A240" s="37"/>
      <c r="B240" s="38"/>
      <c r="C240" s="38"/>
      <c r="D240" s="38"/>
      <c r="E240" s="38"/>
      <c r="F240" s="39"/>
      <c r="G240" s="38"/>
      <c r="H240" s="38"/>
      <c r="I240" s="37"/>
      <c r="J240" s="38"/>
      <c r="K240" s="38"/>
      <c r="L240" s="38"/>
      <c r="M240" s="38"/>
      <c r="N240" s="39"/>
      <c r="O240" s="39"/>
      <c r="P240" s="38"/>
      <c r="Q240" s="38"/>
      <c r="R240" s="38"/>
      <c r="S240" s="39"/>
      <c r="T240" s="39"/>
      <c r="U240" s="38"/>
      <c r="V240" s="38"/>
      <c r="W240" s="37"/>
      <c r="X240" s="38"/>
      <c r="Y240" s="38"/>
      <c r="Z240" s="37"/>
      <c r="AA240" s="38"/>
      <c r="AB240" s="38"/>
      <c r="AC240" s="40"/>
      <c r="AD240" s="41"/>
      <c r="AE240" s="42" t="str">
        <f aca="false">IF(OR(A240="",NOT(ISNUMBER(AC240)),NOT(ISNUMBER(AD240))),"",IF(AD240&gt;0,AC240/AD240,""))</f>
        <v/>
      </c>
      <c r="AF240" s="42" t="str">
        <f aca="false">IF(OR(A240="",AB240=""),"",IFERROR(INDEX(Arbeitszeitmodelle!$C$5:$C$34,MATCH(AB240,Arbeitszeitmodelle!$A$5:$A$34,0)),""))</f>
        <v/>
      </c>
      <c r="AG240" s="38"/>
      <c r="AH240" s="38"/>
      <c r="AI240" s="38"/>
      <c r="AJ240" s="41"/>
      <c r="AK240" s="41"/>
      <c r="AL240" s="38"/>
      <c r="AM240" s="41"/>
      <c r="AN240" s="38"/>
      <c r="AO240" s="38"/>
      <c r="AP240" s="38"/>
      <c r="AQ240" s="38"/>
      <c r="AR240" s="41"/>
      <c r="AS240" s="40"/>
      <c r="AT240" s="39"/>
      <c r="AU240" s="41"/>
      <c r="AV240" s="43" t="str">
        <f aca="false">IF(OR(A240="",NOT(ISNUMBER(AD240))),"",P_MinUrlaubWerktage/6*AD240)</f>
        <v/>
      </c>
      <c r="AW240" s="43" t="str">
        <f aca="false">IF(A240="","",IF(M240="Ja",P_ZusatzSB*IF(ISNUMBER(AD240),AD240,5)/5,0))</f>
        <v/>
      </c>
      <c r="AX240" s="41"/>
      <c r="AY240" s="39"/>
      <c r="AZ240" s="43" t="str">
        <f aca="false">IF(OR(A240="",NOT(ISNUMBER(AU240))),"",SUM(AU240,AW240,AX240))</f>
        <v/>
      </c>
      <c r="BA240" s="38"/>
      <c r="BB240" s="44"/>
      <c r="BC240" s="44"/>
      <c r="BD240" s="45" t="str">
        <f aca="false">IF(A240="","",IF(BA240="Stundenlohn",IF(ISNUMBER(BC240),BC240,""),IF(AND(ISNUMBER(BB240),ISNUMBER(AC240)),IF(AC240&gt;0,BB240*12/(AC240*52),""),"")))</f>
        <v/>
      </c>
      <c r="BE240" s="46" t="str">
        <f aca="false">IF(OR(A240="",NOT(ISNUMBER(F240))),"",IFERROR(DATEDIF(F240,P_Stichtag,"Y"),""))</f>
        <v/>
      </c>
      <c r="BF240" s="47" t="str">
        <f aca="false">IF(OR(A240="",NOT(ISNUMBER(BE240))),"",IF(BE240&lt;18,"Ja","Nein"))</f>
        <v/>
      </c>
      <c r="BG240" s="48" t="str">
        <f aca="false">IF(A240="","",IF((IF(OR(B240="",C240="",F240="",N240="",Q240="",AB240="",AC240="",AD240="",AU240=""),"Pflichtfelder fehlen; ","")&amp;IF(AND(ISNUMBER(AC240),AC240&gt;P_MaxWoche),"Wochenstunden &gt; Prüfgrenze; ","")&amp;IF(AND(BF240="Ja",ISNUMBER(AC240),AC240&gt;P_MaxWocheJugend),"Jugendlicher &gt; 40 h/Woche; ","")&amp;IF(AND(ISNUMBER(BD240),BD240&lt;P_Mindestlohn,Q240&lt;&gt;"Auszubildende/r",Q240&lt;&gt;"Praktikant/in"),"Mindestlohn unterschritten?; ","")&amp;IF(AND(Q240="Minijob (geringfügig)",ISNUMBER(BB240),BB240&gt;P_Minijob),"Minijob-Grenze überschritten; ","")&amp;IF(AND(R240="Ja",S240=""),"Befristung ohne Enddatum; ","")&amp;IF(AND(ISNUMBER(O240),ISNUMBER(N240),O240&lt;N240),"Austritt vor Eintritt; ","")&amp;IF(AND(ISNUMBER(AU240),ISNUMBER(AV240),AU240&lt;AV240),"Urlaub unter gesetzl. Minimum; ","")&amp;IF(AND(ISNUMBER(AC240),ISNUMBER(AF240),ABS(N(AC240)-N(AF240))&gt;0.01),"Wochenstd. weichen vom Modell ab; ","")&amp;IF(AND(AI240="Ja",OR(AJ240="",AK240="")),"Kontogrenzen fehlen; ","")&amp;IF(AND(AL240="Mit Gehalt abgegolten (Pauschale)",AM240=""),"Überstunden-Pauschale fehlt; ",""))="","OK",IF(OR(B240="",C240="",F240="",N240="",Q240="",AB240="",AC240="",AD240="",AU240=""),"Pflichtfelder fehlen; ","")&amp;IF(AND(ISNUMBER(AC240),AC240&gt;P_MaxWoche),"Wochenstunden &gt; Prüfgrenze; ","")&amp;IF(AND(BF240="Ja",ISNUMBER(AC240),AC240&gt;P_MaxWocheJugend),"Jugendlicher &gt; 40 h/Woche; ","")&amp;IF(AND(ISNUMBER(BD240),BD240&lt;P_Mindestlohn,Q240&lt;&gt;"Auszubildende/r",Q240&lt;&gt;"Praktikant/in"),"Mindestlohn unterschritten?; ","")&amp;IF(AND(Q240="Minijob (geringfügig)",ISNUMBER(BB240),BB240&gt;P_Minijob),"Minijob-Grenze überschritten; ","")&amp;IF(AND(R240="Ja",S240=""),"Befristung ohne Enddatum; ","")&amp;IF(AND(ISNUMBER(O240),ISNUMBER(N240),O240&lt;N240),"Austritt vor Eintritt; ","")&amp;IF(AND(ISNUMBER(AU240),ISNUMBER(AV240),AU240&lt;AV240),"Urlaub unter gesetzl. Minimum; ","")&amp;IF(AND(ISNUMBER(AC240),ISNUMBER(AF240),ABS(N(AC240)-N(AF240))&gt;0.01),"Wochenstd. weichen vom Modell ab; ","")&amp;IF(AND(AI240="Ja",OR(AJ240="",AK240="")),"Kontogrenzen fehlen; ","")&amp;IF(AND(AL240="Mit Gehalt abgegolten (Pauschale)",AM240=""),"Überstunden-Pauschale fehlt; ","")))</f>
        <v/>
      </c>
      <c r="BH240" s="38"/>
    </row>
    <row r="241" customFormat="false" ht="15" hidden="false" customHeight="false" outlineLevel="0" collapsed="false">
      <c r="A241" s="37"/>
      <c r="B241" s="38"/>
      <c r="C241" s="38"/>
      <c r="D241" s="38"/>
      <c r="E241" s="38"/>
      <c r="F241" s="39"/>
      <c r="G241" s="38"/>
      <c r="H241" s="38"/>
      <c r="I241" s="37"/>
      <c r="J241" s="38"/>
      <c r="K241" s="38"/>
      <c r="L241" s="38"/>
      <c r="M241" s="38"/>
      <c r="N241" s="39"/>
      <c r="O241" s="39"/>
      <c r="P241" s="38"/>
      <c r="Q241" s="38"/>
      <c r="R241" s="38"/>
      <c r="S241" s="39"/>
      <c r="T241" s="39"/>
      <c r="U241" s="38"/>
      <c r="V241" s="38"/>
      <c r="W241" s="37"/>
      <c r="X241" s="38"/>
      <c r="Y241" s="38"/>
      <c r="Z241" s="37"/>
      <c r="AA241" s="38"/>
      <c r="AB241" s="38"/>
      <c r="AC241" s="40"/>
      <c r="AD241" s="41"/>
      <c r="AE241" s="42" t="str">
        <f aca="false">IF(OR(A241="",NOT(ISNUMBER(AC241)),NOT(ISNUMBER(AD241))),"",IF(AD241&gt;0,AC241/AD241,""))</f>
        <v/>
      </c>
      <c r="AF241" s="42" t="str">
        <f aca="false">IF(OR(A241="",AB241=""),"",IFERROR(INDEX(Arbeitszeitmodelle!$C$5:$C$34,MATCH(AB241,Arbeitszeitmodelle!$A$5:$A$34,0)),""))</f>
        <v/>
      </c>
      <c r="AG241" s="38"/>
      <c r="AH241" s="38"/>
      <c r="AI241" s="38"/>
      <c r="AJ241" s="41"/>
      <c r="AK241" s="41"/>
      <c r="AL241" s="38"/>
      <c r="AM241" s="41"/>
      <c r="AN241" s="38"/>
      <c r="AO241" s="38"/>
      <c r="AP241" s="38"/>
      <c r="AQ241" s="38"/>
      <c r="AR241" s="41"/>
      <c r="AS241" s="40"/>
      <c r="AT241" s="39"/>
      <c r="AU241" s="41"/>
      <c r="AV241" s="43" t="str">
        <f aca="false">IF(OR(A241="",NOT(ISNUMBER(AD241))),"",P_MinUrlaubWerktage/6*AD241)</f>
        <v/>
      </c>
      <c r="AW241" s="43" t="str">
        <f aca="false">IF(A241="","",IF(M241="Ja",P_ZusatzSB*IF(ISNUMBER(AD241),AD241,5)/5,0))</f>
        <v/>
      </c>
      <c r="AX241" s="41"/>
      <c r="AY241" s="39"/>
      <c r="AZ241" s="43" t="str">
        <f aca="false">IF(OR(A241="",NOT(ISNUMBER(AU241))),"",SUM(AU241,AW241,AX241))</f>
        <v/>
      </c>
      <c r="BA241" s="38"/>
      <c r="BB241" s="44"/>
      <c r="BC241" s="44"/>
      <c r="BD241" s="45" t="str">
        <f aca="false">IF(A241="","",IF(BA241="Stundenlohn",IF(ISNUMBER(BC241),BC241,""),IF(AND(ISNUMBER(BB241),ISNUMBER(AC241)),IF(AC241&gt;0,BB241*12/(AC241*52),""),"")))</f>
        <v/>
      </c>
      <c r="BE241" s="46" t="str">
        <f aca="false">IF(OR(A241="",NOT(ISNUMBER(F241))),"",IFERROR(DATEDIF(F241,P_Stichtag,"Y"),""))</f>
        <v/>
      </c>
      <c r="BF241" s="47" t="str">
        <f aca="false">IF(OR(A241="",NOT(ISNUMBER(BE241))),"",IF(BE241&lt;18,"Ja","Nein"))</f>
        <v/>
      </c>
      <c r="BG241" s="48" t="str">
        <f aca="false">IF(A241="","",IF((IF(OR(B241="",C241="",F241="",N241="",Q241="",AB241="",AC241="",AD241="",AU241=""),"Pflichtfelder fehlen; ","")&amp;IF(AND(ISNUMBER(AC241),AC241&gt;P_MaxWoche),"Wochenstunden &gt; Prüfgrenze; ","")&amp;IF(AND(BF241="Ja",ISNUMBER(AC241),AC241&gt;P_MaxWocheJugend),"Jugendlicher &gt; 40 h/Woche; ","")&amp;IF(AND(ISNUMBER(BD241),BD241&lt;P_Mindestlohn,Q241&lt;&gt;"Auszubildende/r",Q241&lt;&gt;"Praktikant/in"),"Mindestlohn unterschritten?; ","")&amp;IF(AND(Q241="Minijob (geringfügig)",ISNUMBER(BB241),BB241&gt;P_Minijob),"Minijob-Grenze überschritten; ","")&amp;IF(AND(R241="Ja",S241=""),"Befristung ohne Enddatum; ","")&amp;IF(AND(ISNUMBER(O241),ISNUMBER(N241),O241&lt;N241),"Austritt vor Eintritt; ","")&amp;IF(AND(ISNUMBER(AU241),ISNUMBER(AV241),AU241&lt;AV241),"Urlaub unter gesetzl. Minimum; ","")&amp;IF(AND(ISNUMBER(AC241),ISNUMBER(AF241),ABS(N(AC241)-N(AF241))&gt;0.01),"Wochenstd. weichen vom Modell ab; ","")&amp;IF(AND(AI241="Ja",OR(AJ241="",AK241="")),"Kontogrenzen fehlen; ","")&amp;IF(AND(AL241="Mit Gehalt abgegolten (Pauschale)",AM241=""),"Überstunden-Pauschale fehlt; ",""))="","OK",IF(OR(B241="",C241="",F241="",N241="",Q241="",AB241="",AC241="",AD241="",AU241=""),"Pflichtfelder fehlen; ","")&amp;IF(AND(ISNUMBER(AC241),AC241&gt;P_MaxWoche),"Wochenstunden &gt; Prüfgrenze; ","")&amp;IF(AND(BF241="Ja",ISNUMBER(AC241),AC241&gt;P_MaxWocheJugend),"Jugendlicher &gt; 40 h/Woche; ","")&amp;IF(AND(ISNUMBER(BD241),BD241&lt;P_Mindestlohn,Q241&lt;&gt;"Auszubildende/r",Q241&lt;&gt;"Praktikant/in"),"Mindestlohn unterschritten?; ","")&amp;IF(AND(Q241="Minijob (geringfügig)",ISNUMBER(BB241),BB241&gt;P_Minijob),"Minijob-Grenze überschritten; ","")&amp;IF(AND(R241="Ja",S241=""),"Befristung ohne Enddatum; ","")&amp;IF(AND(ISNUMBER(O241),ISNUMBER(N241),O241&lt;N241),"Austritt vor Eintritt; ","")&amp;IF(AND(ISNUMBER(AU241),ISNUMBER(AV241),AU241&lt;AV241),"Urlaub unter gesetzl. Minimum; ","")&amp;IF(AND(ISNUMBER(AC241),ISNUMBER(AF241),ABS(N(AC241)-N(AF241))&gt;0.01),"Wochenstd. weichen vom Modell ab; ","")&amp;IF(AND(AI241="Ja",OR(AJ241="",AK241="")),"Kontogrenzen fehlen; ","")&amp;IF(AND(AL241="Mit Gehalt abgegolten (Pauschale)",AM241=""),"Überstunden-Pauschale fehlt; ","")))</f>
        <v/>
      </c>
      <c r="BH241" s="38"/>
    </row>
    <row r="242" customFormat="false" ht="15" hidden="false" customHeight="false" outlineLevel="0" collapsed="false">
      <c r="A242" s="37"/>
      <c r="B242" s="38"/>
      <c r="C242" s="38"/>
      <c r="D242" s="38"/>
      <c r="E242" s="38"/>
      <c r="F242" s="39"/>
      <c r="G242" s="38"/>
      <c r="H242" s="38"/>
      <c r="I242" s="37"/>
      <c r="J242" s="38"/>
      <c r="K242" s="38"/>
      <c r="L242" s="38"/>
      <c r="M242" s="38"/>
      <c r="N242" s="39"/>
      <c r="O242" s="39"/>
      <c r="P242" s="38"/>
      <c r="Q242" s="38"/>
      <c r="R242" s="38"/>
      <c r="S242" s="39"/>
      <c r="T242" s="39"/>
      <c r="U242" s="38"/>
      <c r="V242" s="38"/>
      <c r="W242" s="37"/>
      <c r="X242" s="38"/>
      <c r="Y242" s="38"/>
      <c r="Z242" s="37"/>
      <c r="AA242" s="38"/>
      <c r="AB242" s="38"/>
      <c r="AC242" s="40"/>
      <c r="AD242" s="41"/>
      <c r="AE242" s="42" t="str">
        <f aca="false">IF(OR(A242="",NOT(ISNUMBER(AC242)),NOT(ISNUMBER(AD242))),"",IF(AD242&gt;0,AC242/AD242,""))</f>
        <v/>
      </c>
      <c r="AF242" s="42" t="str">
        <f aca="false">IF(OR(A242="",AB242=""),"",IFERROR(INDEX(Arbeitszeitmodelle!$C$5:$C$34,MATCH(AB242,Arbeitszeitmodelle!$A$5:$A$34,0)),""))</f>
        <v/>
      </c>
      <c r="AG242" s="38"/>
      <c r="AH242" s="38"/>
      <c r="AI242" s="38"/>
      <c r="AJ242" s="41"/>
      <c r="AK242" s="41"/>
      <c r="AL242" s="38"/>
      <c r="AM242" s="41"/>
      <c r="AN242" s="38"/>
      <c r="AO242" s="38"/>
      <c r="AP242" s="38"/>
      <c r="AQ242" s="38"/>
      <c r="AR242" s="41"/>
      <c r="AS242" s="40"/>
      <c r="AT242" s="39"/>
      <c r="AU242" s="41"/>
      <c r="AV242" s="43" t="str">
        <f aca="false">IF(OR(A242="",NOT(ISNUMBER(AD242))),"",P_MinUrlaubWerktage/6*AD242)</f>
        <v/>
      </c>
      <c r="AW242" s="43" t="str">
        <f aca="false">IF(A242="","",IF(M242="Ja",P_ZusatzSB*IF(ISNUMBER(AD242),AD242,5)/5,0))</f>
        <v/>
      </c>
      <c r="AX242" s="41"/>
      <c r="AY242" s="39"/>
      <c r="AZ242" s="43" t="str">
        <f aca="false">IF(OR(A242="",NOT(ISNUMBER(AU242))),"",SUM(AU242,AW242,AX242))</f>
        <v/>
      </c>
      <c r="BA242" s="38"/>
      <c r="BB242" s="44"/>
      <c r="BC242" s="44"/>
      <c r="BD242" s="45" t="str">
        <f aca="false">IF(A242="","",IF(BA242="Stundenlohn",IF(ISNUMBER(BC242),BC242,""),IF(AND(ISNUMBER(BB242),ISNUMBER(AC242)),IF(AC242&gt;0,BB242*12/(AC242*52),""),"")))</f>
        <v/>
      </c>
      <c r="BE242" s="46" t="str">
        <f aca="false">IF(OR(A242="",NOT(ISNUMBER(F242))),"",IFERROR(DATEDIF(F242,P_Stichtag,"Y"),""))</f>
        <v/>
      </c>
      <c r="BF242" s="47" t="str">
        <f aca="false">IF(OR(A242="",NOT(ISNUMBER(BE242))),"",IF(BE242&lt;18,"Ja","Nein"))</f>
        <v/>
      </c>
      <c r="BG242" s="48" t="str">
        <f aca="false">IF(A242="","",IF((IF(OR(B242="",C242="",F242="",N242="",Q242="",AB242="",AC242="",AD242="",AU242=""),"Pflichtfelder fehlen; ","")&amp;IF(AND(ISNUMBER(AC242),AC242&gt;P_MaxWoche),"Wochenstunden &gt; Prüfgrenze; ","")&amp;IF(AND(BF242="Ja",ISNUMBER(AC242),AC242&gt;P_MaxWocheJugend),"Jugendlicher &gt; 40 h/Woche; ","")&amp;IF(AND(ISNUMBER(BD242),BD242&lt;P_Mindestlohn,Q242&lt;&gt;"Auszubildende/r",Q242&lt;&gt;"Praktikant/in"),"Mindestlohn unterschritten?; ","")&amp;IF(AND(Q242="Minijob (geringfügig)",ISNUMBER(BB242),BB242&gt;P_Minijob),"Minijob-Grenze überschritten; ","")&amp;IF(AND(R242="Ja",S242=""),"Befristung ohne Enddatum; ","")&amp;IF(AND(ISNUMBER(O242),ISNUMBER(N242),O242&lt;N242),"Austritt vor Eintritt; ","")&amp;IF(AND(ISNUMBER(AU242),ISNUMBER(AV242),AU242&lt;AV242),"Urlaub unter gesetzl. Minimum; ","")&amp;IF(AND(ISNUMBER(AC242),ISNUMBER(AF242),ABS(N(AC242)-N(AF242))&gt;0.01),"Wochenstd. weichen vom Modell ab; ","")&amp;IF(AND(AI242="Ja",OR(AJ242="",AK242="")),"Kontogrenzen fehlen; ","")&amp;IF(AND(AL242="Mit Gehalt abgegolten (Pauschale)",AM242=""),"Überstunden-Pauschale fehlt; ",""))="","OK",IF(OR(B242="",C242="",F242="",N242="",Q242="",AB242="",AC242="",AD242="",AU242=""),"Pflichtfelder fehlen; ","")&amp;IF(AND(ISNUMBER(AC242),AC242&gt;P_MaxWoche),"Wochenstunden &gt; Prüfgrenze; ","")&amp;IF(AND(BF242="Ja",ISNUMBER(AC242),AC242&gt;P_MaxWocheJugend),"Jugendlicher &gt; 40 h/Woche; ","")&amp;IF(AND(ISNUMBER(BD242),BD242&lt;P_Mindestlohn,Q242&lt;&gt;"Auszubildende/r",Q242&lt;&gt;"Praktikant/in"),"Mindestlohn unterschritten?; ","")&amp;IF(AND(Q242="Minijob (geringfügig)",ISNUMBER(BB242),BB242&gt;P_Minijob),"Minijob-Grenze überschritten; ","")&amp;IF(AND(R242="Ja",S242=""),"Befristung ohne Enddatum; ","")&amp;IF(AND(ISNUMBER(O242),ISNUMBER(N242),O242&lt;N242),"Austritt vor Eintritt; ","")&amp;IF(AND(ISNUMBER(AU242),ISNUMBER(AV242),AU242&lt;AV242),"Urlaub unter gesetzl. Minimum; ","")&amp;IF(AND(ISNUMBER(AC242),ISNUMBER(AF242),ABS(N(AC242)-N(AF242))&gt;0.01),"Wochenstd. weichen vom Modell ab; ","")&amp;IF(AND(AI242="Ja",OR(AJ242="",AK242="")),"Kontogrenzen fehlen; ","")&amp;IF(AND(AL242="Mit Gehalt abgegolten (Pauschale)",AM242=""),"Überstunden-Pauschale fehlt; ","")))</f>
        <v/>
      </c>
      <c r="BH242" s="38"/>
    </row>
    <row r="243" customFormat="false" ht="15" hidden="false" customHeight="false" outlineLevel="0" collapsed="false">
      <c r="A243" s="37"/>
      <c r="B243" s="38"/>
      <c r="C243" s="38"/>
      <c r="D243" s="38"/>
      <c r="E243" s="38"/>
      <c r="F243" s="39"/>
      <c r="G243" s="38"/>
      <c r="H243" s="38"/>
      <c r="I243" s="37"/>
      <c r="J243" s="38"/>
      <c r="K243" s="38"/>
      <c r="L243" s="38"/>
      <c r="M243" s="38"/>
      <c r="N243" s="39"/>
      <c r="O243" s="39"/>
      <c r="P243" s="38"/>
      <c r="Q243" s="38"/>
      <c r="R243" s="38"/>
      <c r="S243" s="39"/>
      <c r="T243" s="39"/>
      <c r="U243" s="38"/>
      <c r="V243" s="38"/>
      <c r="W243" s="37"/>
      <c r="X243" s="38"/>
      <c r="Y243" s="38"/>
      <c r="Z243" s="37"/>
      <c r="AA243" s="38"/>
      <c r="AB243" s="38"/>
      <c r="AC243" s="40"/>
      <c r="AD243" s="41"/>
      <c r="AE243" s="42" t="str">
        <f aca="false">IF(OR(A243="",NOT(ISNUMBER(AC243)),NOT(ISNUMBER(AD243))),"",IF(AD243&gt;0,AC243/AD243,""))</f>
        <v/>
      </c>
      <c r="AF243" s="42" t="str">
        <f aca="false">IF(OR(A243="",AB243=""),"",IFERROR(INDEX(Arbeitszeitmodelle!$C$5:$C$34,MATCH(AB243,Arbeitszeitmodelle!$A$5:$A$34,0)),""))</f>
        <v/>
      </c>
      <c r="AG243" s="38"/>
      <c r="AH243" s="38"/>
      <c r="AI243" s="38"/>
      <c r="AJ243" s="41"/>
      <c r="AK243" s="41"/>
      <c r="AL243" s="38"/>
      <c r="AM243" s="41"/>
      <c r="AN243" s="38"/>
      <c r="AO243" s="38"/>
      <c r="AP243" s="38"/>
      <c r="AQ243" s="38"/>
      <c r="AR243" s="41"/>
      <c r="AS243" s="40"/>
      <c r="AT243" s="39"/>
      <c r="AU243" s="41"/>
      <c r="AV243" s="43" t="str">
        <f aca="false">IF(OR(A243="",NOT(ISNUMBER(AD243))),"",P_MinUrlaubWerktage/6*AD243)</f>
        <v/>
      </c>
      <c r="AW243" s="43" t="str">
        <f aca="false">IF(A243="","",IF(M243="Ja",P_ZusatzSB*IF(ISNUMBER(AD243),AD243,5)/5,0))</f>
        <v/>
      </c>
      <c r="AX243" s="41"/>
      <c r="AY243" s="39"/>
      <c r="AZ243" s="43" t="str">
        <f aca="false">IF(OR(A243="",NOT(ISNUMBER(AU243))),"",SUM(AU243,AW243,AX243))</f>
        <v/>
      </c>
      <c r="BA243" s="38"/>
      <c r="BB243" s="44"/>
      <c r="BC243" s="44"/>
      <c r="BD243" s="45" t="str">
        <f aca="false">IF(A243="","",IF(BA243="Stundenlohn",IF(ISNUMBER(BC243),BC243,""),IF(AND(ISNUMBER(BB243),ISNUMBER(AC243)),IF(AC243&gt;0,BB243*12/(AC243*52),""),"")))</f>
        <v/>
      </c>
      <c r="BE243" s="46" t="str">
        <f aca="false">IF(OR(A243="",NOT(ISNUMBER(F243))),"",IFERROR(DATEDIF(F243,P_Stichtag,"Y"),""))</f>
        <v/>
      </c>
      <c r="BF243" s="47" t="str">
        <f aca="false">IF(OR(A243="",NOT(ISNUMBER(BE243))),"",IF(BE243&lt;18,"Ja","Nein"))</f>
        <v/>
      </c>
      <c r="BG243" s="48" t="str">
        <f aca="false">IF(A243="","",IF((IF(OR(B243="",C243="",F243="",N243="",Q243="",AB243="",AC243="",AD243="",AU243=""),"Pflichtfelder fehlen; ","")&amp;IF(AND(ISNUMBER(AC243),AC243&gt;P_MaxWoche),"Wochenstunden &gt; Prüfgrenze; ","")&amp;IF(AND(BF243="Ja",ISNUMBER(AC243),AC243&gt;P_MaxWocheJugend),"Jugendlicher &gt; 40 h/Woche; ","")&amp;IF(AND(ISNUMBER(BD243),BD243&lt;P_Mindestlohn,Q243&lt;&gt;"Auszubildende/r",Q243&lt;&gt;"Praktikant/in"),"Mindestlohn unterschritten?; ","")&amp;IF(AND(Q243="Minijob (geringfügig)",ISNUMBER(BB243),BB243&gt;P_Minijob),"Minijob-Grenze überschritten; ","")&amp;IF(AND(R243="Ja",S243=""),"Befristung ohne Enddatum; ","")&amp;IF(AND(ISNUMBER(O243),ISNUMBER(N243),O243&lt;N243),"Austritt vor Eintritt; ","")&amp;IF(AND(ISNUMBER(AU243),ISNUMBER(AV243),AU243&lt;AV243),"Urlaub unter gesetzl. Minimum; ","")&amp;IF(AND(ISNUMBER(AC243),ISNUMBER(AF243),ABS(N(AC243)-N(AF243))&gt;0.01),"Wochenstd. weichen vom Modell ab; ","")&amp;IF(AND(AI243="Ja",OR(AJ243="",AK243="")),"Kontogrenzen fehlen; ","")&amp;IF(AND(AL243="Mit Gehalt abgegolten (Pauschale)",AM243=""),"Überstunden-Pauschale fehlt; ",""))="","OK",IF(OR(B243="",C243="",F243="",N243="",Q243="",AB243="",AC243="",AD243="",AU243=""),"Pflichtfelder fehlen; ","")&amp;IF(AND(ISNUMBER(AC243),AC243&gt;P_MaxWoche),"Wochenstunden &gt; Prüfgrenze; ","")&amp;IF(AND(BF243="Ja",ISNUMBER(AC243),AC243&gt;P_MaxWocheJugend),"Jugendlicher &gt; 40 h/Woche; ","")&amp;IF(AND(ISNUMBER(BD243),BD243&lt;P_Mindestlohn,Q243&lt;&gt;"Auszubildende/r",Q243&lt;&gt;"Praktikant/in"),"Mindestlohn unterschritten?; ","")&amp;IF(AND(Q243="Minijob (geringfügig)",ISNUMBER(BB243),BB243&gt;P_Minijob),"Minijob-Grenze überschritten; ","")&amp;IF(AND(R243="Ja",S243=""),"Befristung ohne Enddatum; ","")&amp;IF(AND(ISNUMBER(O243),ISNUMBER(N243),O243&lt;N243),"Austritt vor Eintritt; ","")&amp;IF(AND(ISNUMBER(AU243),ISNUMBER(AV243),AU243&lt;AV243),"Urlaub unter gesetzl. Minimum; ","")&amp;IF(AND(ISNUMBER(AC243),ISNUMBER(AF243),ABS(N(AC243)-N(AF243))&gt;0.01),"Wochenstd. weichen vom Modell ab; ","")&amp;IF(AND(AI243="Ja",OR(AJ243="",AK243="")),"Kontogrenzen fehlen; ","")&amp;IF(AND(AL243="Mit Gehalt abgegolten (Pauschale)",AM243=""),"Überstunden-Pauschale fehlt; ","")))</f>
        <v/>
      </c>
      <c r="BH243" s="38"/>
    </row>
    <row r="244" customFormat="false" ht="15" hidden="false" customHeight="false" outlineLevel="0" collapsed="false">
      <c r="A244" s="37"/>
      <c r="B244" s="38"/>
      <c r="C244" s="38"/>
      <c r="D244" s="38"/>
      <c r="E244" s="38"/>
      <c r="F244" s="39"/>
      <c r="G244" s="38"/>
      <c r="H244" s="38"/>
      <c r="I244" s="37"/>
      <c r="J244" s="38"/>
      <c r="K244" s="38"/>
      <c r="L244" s="38"/>
      <c r="M244" s="38"/>
      <c r="N244" s="39"/>
      <c r="O244" s="39"/>
      <c r="P244" s="38"/>
      <c r="Q244" s="38"/>
      <c r="R244" s="38"/>
      <c r="S244" s="39"/>
      <c r="T244" s="39"/>
      <c r="U244" s="38"/>
      <c r="V244" s="38"/>
      <c r="W244" s="37"/>
      <c r="X244" s="38"/>
      <c r="Y244" s="38"/>
      <c r="Z244" s="37"/>
      <c r="AA244" s="38"/>
      <c r="AB244" s="38"/>
      <c r="AC244" s="40"/>
      <c r="AD244" s="41"/>
      <c r="AE244" s="42" t="str">
        <f aca="false">IF(OR(A244="",NOT(ISNUMBER(AC244)),NOT(ISNUMBER(AD244))),"",IF(AD244&gt;0,AC244/AD244,""))</f>
        <v/>
      </c>
      <c r="AF244" s="42" t="str">
        <f aca="false">IF(OR(A244="",AB244=""),"",IFERROR(INDEX(Arbeitszeitmodelle!$C$5:$C$34,MATCH(AB244,Arbeitszeitmodelle!$A$5:$A$34,0)),""))</f>
        <v/>
      </c>
      <c r="AG244" s="38"/>
      <c r="AH244" s="38"/>
      <c r="AI244" s="38"/>
      <c r="AJ244" s="41"/>
      <c r="AK244" s="41"/>
      <c r="AL244" s="38"/>
      <c r="AM244" s="41"/>
      <c r="AN244" s="38"/>
      <c r="AO244" s="38"/>
      <c r="AP244" s="38"/>
      <c r="AQ244" s="38"/>
      <c r="AR244" s="41"/>
      <c r="AS244" s="40"/>
      <c r="AT244" s="39"/>
      <c r="AU244" s="41"/>
      <c r="AV244" s="43" t="str">
        <f aca="false">IF(OR(A244="",NOT(ISNUMBER(AD244))),"",P_MinUrlaubWerktage/6*AD244)</f>
        <v/>
      </c>
      <c r="AW244" s="43" t="str">
        <f aca="false">IF(A244="","",IF(M244="Ja",P_ZusatzSB*IF(ISNUMBER(AD244),AD244,5)/5,0))</f>
        <v/>
      </c>
      <c r="AX244" s="41"/>
      <c r="AY244" s="39"/>
      <c r="AZ244" s="43" t="str">
        <f aca="false">IF(OR(A244="",NOT(ISNUMBER(AU244))),"",SUM(AU244,AW244,AX244))</f>
        <v/>
      </c>
      <c r="BA244" s="38"/>
      <c r="BB244" s="44"/>
      <c r="BC244" s="44"/>
      <c r="BD244" s="45" t="str">
        <f aca="false">IF(A244="","",IF(BA244="Stundenlohn",IF(ISNUMBER(BC244),BC244,""),IF(AND(ISNUMBER(BB244),ISNUMBER(AC244)),IF(AC244&gt;0,BB244*12/(AC244*52),""),"")))</f>
        <v/>
      </c>
      <c r="BE244" s="46" t="str">
        <f aca="false">IF(OR(A244="",NOT(ISNUMBER(F244))),"",IFERROR(DATEDIF(F244,P_Stichtag,"Y"),""))</f>
        <v/>
      </c>
      <c r="BF244" s="47" t="str">
        <f aca="false">IF(OR(A244="",NOT(ISNUMBER(BE244))),"",IF(BE244&lt;18,"Ja","Nein"))</f>
        <v/>
      </c>
      <c r="BG244" s="48" t="str">
        <f aca="false">IF(A244="","",IF((IF(OR(B244="",C244="",F244="",N244="",Q244="",AB244="",AC244="",AD244="",AU244=""),"Pflichtfelder fehlen; ","")&amp;IF(AND(ISNUMBER(AC244),AC244&gt;P_MaxWoche),"Wochenstunden &gt; Prüfgrenze; ","")&amp;IF(AND(BF244="Ja",ISNUMBER(AC244),AC244&gt;P_MaxWocheJugend),"Jugendlicher &gt; 40 h/Woche; ","")&amp;IF(AND(ISNUMBER(BD244),BD244&lt;P_Mindestlohn,Q244&lt;&gt;"Auszubildende/r",Q244&lt;&gt;"Praktikant/in"),"Mindestlohn unterschritten?; ","")&amp;IF(AND(Q244="Minijob (geringfügig)",ISNUMBER(BB244),BB244&gt;P_Minijob),"Minijob-Grenze überschritten; ","")&amp;IF(AND(R244="Ja",S244=""),"Befristung ohne Enddatum; ","")&amp;IF(AND(ISNUMBER(O244),ISNUMBER(N244),O244&lt;N244),"Austritt vor Eintritt; ","")&amp;IF(AND(ISNUMBER(AU244),ISNUMBER(AV244),AU244&lt;AV244),"Urlaub unter gesetzl. Minimum; ","")&amp;IF(AND(ISNUMBER(AC244),ISNUMBER(AF244),ABS(N(AC244)-N(AF244))&gt;0.01),"Wochenstd. weichen vom Modell ab; ","")&amp;IF(AND(AI244="Ja",OR(AJ244="",AK244="")),"Kontogrenzen fehlen; ","")&amp;IF(AND(AL244="Mit Gehalt abgegolten (Pauschale)",AM244=""),"Überstunden-Pauschale fehlt; ",""))="","OK",IF(OR(B244="",C244="",F244="",N244="",Q244="",AB244="",AC244="",AD244="",AU244=""),"Pflichtfelder fehlen; ","")&amp;IF(AND(ISNUMBER(AC244),AC244&gt;P_MaxWoche),"Wochenstunden &gt; Prüfgrenze; ","")&amp;IF(AND(BF244="Ja",ISNUMBER(AC244),AC244&gt;P_MaxWocheJugend),"Jugendlicher &gt; 40 h/Woche; ","")&amp;IF(AND(ISNUMBER(BD244),BD244&lt;P_Mindestlohn,Q244&lt;&gt;"Auszubildende/r",Q244&lt;&gt;"Praktikant/in"),"Mindestlohn unterschritten?; ","")&amp;IF(AND(Q244="Minijob (geringfügig)",ISNUMBER(BB244),BB244&gt;P_Minijob),"Minijob-Grenze überschritten; ","")&amp;IF(AND(R244="Ja",S244=""),"Befristung ohne Enddatum; ","")&amp;IF(AND(ISNUMBER(O244),ISNUMBER(N244),O244&lt;N244),"Austritt vor Eintritt; ","")&amp;IF(AND(ISNUMBER(AU244),ISNUMBER(AV244),AU244&lt;AV244),"Urlaub unter gesetzl. Minimum; ","")&amp;IF(AND(ISNUMBER(AC244),ISNUMBER(AF244),ABS(N(AC244)-N(AF244))&gt;0.01),"Wochenstd. weichen vom Modell ab; ","")&amp;IF(AND(AI244="Ja",OR(AJ244="",AK244="")),"Kontogrenzen fehlen; ","")&amp;IF(AND(AL244="Mit Gehalt abgegolten (Pauschale)",AM244=""),"Überstunden-Pauschale fehlt; ","")))</f>
        <v/>
      </c>
      <c r="BH244" s="38"/>
    </row>
    <row r="245" customFormat="false" ht="15" hidden="false" customHeight="false" outlineLevel="0" collapsed="false">
      <c r="A245" s="37"/>
      <c r="B245" s="38"/>
      <c r="C245" s="38"/>
      <c r="D245" s="38"/>
      <c r="E245" s="38"/>
      <c r="F245" s="39"/>
      <c r="G245" s="38"/>
      <c r="H245" s="38"/>
      <c r="I245" s="37"/>
      <c r="J245" s="38"/>
      <c r="K245" s="38"/>
      <c r="L245" s="38"/>
      <c r="M245" s="38"/>
      <c r="N245" s="39"/>
      <c r="O245" s="39"/>
      <c r="P245" s="38"/>
      <c r="Q245" s="38"/>
      <c r="R245" s="38"/>
      <c r="S245" s="39"/>
      <c r="T245" s="39"/>
      <c r="U245" s="38"/>
      <c r="V245" s="38"/>
      <c r="W245" s="37"/>
      <c r="X245" s="38"/>
      <c r="Y245" s="38"/>
      <c r="Z245" s="37"/>
      <c r="AA245" s="38"/>
      <c r="AB245" s="38"/>
      <c r="AC245" s="40"/>
      <c r="AD245" s="41"/>
      <c r="AE245" s="42" t="str">
        <f aca="false">IF(OR(A245="",NOT(ISNUMBER(AC245)),NOT(ISNUMBER(AD245))),"",IF(AD245&gt;0,AC245/AD245,""))</f>
        <v/>
      </c>
      <c r="AF245" s="42" t="str">
        <f aca="false">IF(OR(A245="",AB245=""),"",IFERROR(INDEX(Arbeitszeitmodelle!$C$5:$C$34,MATCH(AB245,Arbeitszeitmodelle!$A$5:$A$34,0)),""))</f>
        <v/>
      </c>
      <c r="AG245" s="38"/>
      <c r="AH245" s="38"/>
      <c r="AI245" s="38"/>
      <c r="AJ245" s="41"/>
      <c r="AK245" s="41"/>
      <c r="AL245" s="38"/>
      <c r="AM245" s="41"/>
      <c r="AN245" s="38"/>
      <c r="AO245" s="38"/>
      <c r="AP245" s="38"/>
      <c r="AQ245" s="38"/>
      <c r="AR245" s="41"/>
      <c r="AS245" s="40"/>
      <c r="AT245" s="39"/>
      <c r="AU245" s="41"/>
      <c r="AV245" s="43" t="str">
        <f aca="false">IF(OR(A245="",NOT(ISNUMBER(AD245))),"",P_MinUrlaubWerktage/6*AD245)</f>
        <v/>
      </c>
      <c r="AW245" s="43" t="str">
        <f aca="false">IF(A245="","",IF(M245="Ja",P_ZusatzSB*IF(ISNUMBER(AD245),AD245,5)/5,0))</f>
        <v/>
      </c>
      <c r="AX245" s="41"/>
      <c r="AY245" s="39"/>
      <c r="AZ245" s="43" t="str">
        <f aca="false">IF(OR(A245="",NOT(ISNUMBER(AU245))),"",SUM(AU245,AW245,AX245))</f>
        <v/>
      </c>
      <c r="BA245" s="38"/>
      <c r="BB245" s="44"/>
      <c r="BC245" s="44"/>
      <c r="BD245" s="45" t="str">
        <f aca="false">IF(A245="","",IF(BA245="Stundenlohn",IF(ISNUMBER(BC245),BC245,""),IF(AND(ISNUMBER(BB245),ISNUMBER(AC245)),IF(AC245&gt;0,BB245*12/(AC245*52),""),"")))</f>
        <v/>
      </c>
      <c r="BE245" s="46" t="str">
        <f aca="false">IF(OR(A245="",NOT(ISNUMBER(F245))),"",IFERROR(DATEDIF(F245,P_Stichtag,"Y"),""))</f>
        <v/>
      </c>
      <c r="BF245" s="47" t="str">
        <f aca="false">IF(OR(A245="",NOT(ISNUMBER(BE245))),"",IF(BE245&lt;18,"Ja","Nein"))</f>
        <v/>
      </c>
      <c r="BG245" s="48" t="str">
        <f aca="false">IF(A245="","",IF((IF(OR(B245="",C245="",F245="",N245="",Q245="",AB245="",AC245="",AD245="",AU245=""),"Pflichtfelder fehlen; ","")&amp;IF(AND(ISNUMBER(AC245),AC245&gt;P_MaxWoche),"Wochenstunden &gt; Prüfgrenze; ","")&amp;IF(AND(BF245="Ja",ISNUMBER(AC245),AC245&gt;P_MaxWocheJugend),"Jugendlicher &gt; 40 h/Woche; ","")&amp;IF(AND(ISNUMBER(BD245),BD245&lt;P_Mindestlohn,Q245&lt;&gt;"Auszubildende/r",Q245&lt;&gt;"Praktikant/in"),"Mindestlohn unterschritten?; ","")&amp;IF(AND(Q245="Minijob (geringfügig)",ISNUMBER(BB245),BB245&gt;P_Minijob),"Minijob-Grenze überschritten; ","")&amp;IF(AND(R245="Ja",S245=""),"Befristung ohne Enddatum; ","")&amp;IF(AND(ISNUMBER(O245),ISNUMBER(N245),O245&lt;N245),"Austritt vor Eintritt; ","")&amp;IF(AND(ISNUMBER(AU245),ISNUMBER(AV245),AU245&lt;AV245),"Urlaub unter gesetzl. Minimum; ","")&amp;IF(AND(ISNUMBER(AC245),ISNUMBER(AF245),ABS(N(AC245)-N(AF245))&gt;0.01),"Wochenstd. weichen vom Modell ab; ","")&amp;IF(AND(AI245="Ja",OR(AJ245="",AK245="")),"Kontogrenzen fehlen; ","")&amp;IF(AND(AL245="Mit Gehalt abgegolten (Pauschale)",AM245=""),"Überstunden-Pauschale fehlt; ",""))="","OK",IF(OR(B245="",C245="",F245="",N245="",Q245="",AB245="",AC245="",AD245="",AU245=""),"Pflichtfelder fehlen; ","")&amp;IF(AND(ISNUMBER(AC245),AC245&gt;P_MaxWoche),"Wochenstunden &gt; Prüfgrenze; ","")&amp;IF(AND(BF245="Ja",ISNUMBER(AC245),AC245&gt;P_MaxWocheJugend),"Jugendlicher &gt; 40 h/Woche; ","")&amp;IF(AND(ISNUMBER(BD245),BD245&lt;P_Mindestlohn,Q245&lt;&gt;"Auszubildende/r",Q245&lt;&gt;"Praktikant/in"),"Mindestlohn unterschritten?; ","")&amp;IF(AND(Q245="Minijob (geringfügig)",ISNUMBER(BB245),BB245&gt;P_Minijob),"Minijob-Grenze überschritten; ","")&amp;IF(AND(R245="Ja",S245=""),"Befristung ohne Enddatum; ","")&amp;IF(AND(ISNUMBER(O245),ISNUMBER(N245),O245&lt;N245),"Austritt vor Eintritt; ","")&amp;IF(AND(ISNUMBER(AU245),ISNUMBER(AV245),AU245&lt;AV245),"Urlaub unter gesetzl. Minimum; ","")&amp;IF(AND(ISNUMBER(AC245),ISNUMBER(AF245),ABS(N(AC245)-N(AF245))&gt;0.01),"Wochenstd. weichen vom Modell ab; ","")&amp;IF(AND(AI245="Ja",OR(AJ245="",AK245="")),"Kontogrenzen fehlen; ","")&amp;IF(AND(AL245="Mit Gehalt abgegolten (Pauschale)",AM245=""),"Überstunden-Pauschale fehlt; ","")))</f>
        <v/>
      </c>
      <c r="BH245" s="38"/>
    </row>
    <row r="246" customFormat="false" ht="15" hidden="false" customHeight="false" outlineLevel="0" collapsed="false">
      <c r="A246" s="37"/>
      <c r="B246" s="38"/>
      <c r="C246" s="38"/>
      <c r="D246" s="38"/>
      <c r="E246" s="38"/>
      <c r="F246" s="39"/>
      <c r="G246" s="38"/>
      <c r="H246" s="38"/>
      <c r="I246" s="37"/>
      <c r="J246" s="38"/>
      <c r="K246" s="38"/>
      <c r="L246" s="38"/>
      <c r="M246" s="38"/>
      <c r="N246" s="39"/>
      <c r="O246" s="39"/>
      <c r="P246" s="38"/>
      <c r="Q246" s="38"/>
      <c r="R246" s="38"/>
      <c r="S246" s="39"/>
      <c r="T246" s="39"/>
      <c r="U246" s="38"/>
      <c r="V246" s="38"/>
      <c r="W246" s="37"/>
      <c r="X246" s="38"/>
      <c r="Y246" s="38"/>
      <c r="Z246" s="37"/>
      <c r="AA246" s="38"/>
      <c r="AB246" s="38"/>
      <c r="AC246" s="40"/>
      <c r="AD246" s="41"/>
      <c r="AE246" s="42" t="str">
        <f aca="false">IF(OR(A246="",NOT(ISNUMBER(AC246)),NOT(ISNUMBER(AD246))),"",IF(AD246&gt;0,AC246/AD246,""))</f>
        <v/>
      </c>
      <c r="AF246" s="42" t="str">
        <f aca="false">IF(OR(A246="",AB246=""),"",IFERROR(INDEX(Arbeitszeitmodelle!$C$5:$C$34,MATCH(AB246,Arbeitszeitmodelle!$A$5:$A$34,0)),""))</f>
        <v/>
      </c>
      <c r="AG246" s="38"/>
      <c r="AH246" s="38"/>
      <c r="AI246" s="38"/>
      <c r="AJ246" s="41"/>
      <c r="AK246" s="41"/>
      <c r="AL246" s="38"/>
      <c r="AM246" s="41"/>
      <c r="AN246" s="38"/>
      <c r="AO246" s="38"/>
      <c r="AP246" s="38"/>
      <c r="AQ246" s="38"/>
      <c r="AR246" s="41"/>
      <c r="AS246" s="40"/>
      <c r="AT246" s="39"/>
      <c r="AU246" s="41"/>
      <c r="AV246" s="43" t="str">
        <f aca="false">IF(OR(A246="",NOT(ISNUMBER(AD246))),"",P_MinUrlaubWerktage/6*AD246)</f>
        <v/>
      </c>
      <c r="AW246" s="43" t="str">
        <f aca="false">IF(A246="","",IF(M246="Ja",P_ZusatzSB*IF(ISNUMBER(AD246),AD246,5)/5,0))</f>
        <v/>
      </c>
      <c r="AX246" s="41"/>
      <c r="AY246" s="39"/>
      <c r="AZ246" s="43" t="str">
        <f aca="false">IF(OR(A246="",NOT(ISNUMBER(AU246))),"",SUM(AU246,AW246,AX246))</f>
        <v/>
      </c>
      <c r="BA246" s="38"/>
      <c r="BB246" s="44"/>
      <c r="BC246" s="44"/>
      <c r="BD246" s="45" t="str">
        <f aca="false">IF(A246="","",IF(BA246="Stundenlohn",IF(ISNUMBER(BC246),BC246,""),IF(AND(ISNUMBER(BB246),ISNUMBER(AC246)),IF(AC246&gt;0,BB246*12/(AC246*52),""),"")))</f>
        <v/>
      </c>
      <c r="BE246" s="46" t="str">
        <f aca="false">IF(OR(A246="",NOT(ISNUMBER(F246))),"",IFERROR(DATEDIF(F246,P_Stichtag,"Y"),""))</f>
        <v/>
      </c>
      <c r="BF246" s="47" t="str">
        <f aca="false">IF(OR(A246="",NOT(ISNUMBER(BE246))),"",IF(BE246&lt;18,"Ja","Nein"))</f>
        <v/>
      </c>
      <c r="BG246" s="48" t="str">
        <f aca="false">IF(A246="","",IF((IF(OR(B246="",C246="",F246="",N246="",Q246="",AB246="",AC246="",AD246="",AU246=""),"Pflichtfelder fehlen; ","")&amp;IF(AND(ISNUMBER(AC246),AC246&gt;P_MaxWoche),"Wochenstunden &gt; Prüfgrenze; ","")&amp;IF(AND(BF246="Ja",ISNUMBER(AC246),AC246&gt;P_MaxWocheJugend),"Jugendlicher &gt; 40 h/Woche; ","")&amp;IF(AND(ISNUMBER(BD246),BD246&lt;P_Mindestlohn,Q246&lt;&gt;"Auszubildende/r",Q246&lt;&gt;"Praktikant/in"),"Mindestlohn unterschritten?; ","")&amp;IF(AND(Q246="Minijob (geringfügig)",ISNUMBER(BB246),BB246&gt;P_Minijob),"Minijob-Grenze überschritten; ","")&amp;IF(AND(R246="Ja",S246=""),"Befristung ohne Enddatum; ","")&amp;IF(AND(ISNUMBER(O246),ISNUMBER(N246),O246&lt;N246),"Austritt vor Eintritt; ","")&amp;IF(AND(ISNUMBER(AU246),ISNUMBER(AV246),AU246&lt;AV246),"Urlaub unter gesetzl. Minimum; ","")&amp;IF(AND(ISNUMBER(AC246),ISNUMBER(AF246),ABS(N(AC246)-N(AF246))&gt;0.01),"Wochenstd. weichen vom Modell ab; ","")&amp;IF(AND(AI246="Ja",OR(AJ246="",AK246="")),"Kontogrenzen fehlen; ","")&amp;IF(AND(AL246="Mit Gehalt abgegolten (Pauschale)",AM246=""),"Überstunden-Pauschale fehlt; ",""))="","OK",IF(OR(B246="",C246="",F246="",N246="",Q246="",AB246="",AC246="",AD246="",AU246=""),"Pflichtfelder fehlen; ","")&amp;IF(AND(ISNUMBER(AC246),AC246&gt;P_MaxWoche),"Wochenstunden &gt; Prüfgrenze; ","")&amp;IF(AND(BF246="Ja",ISNUMBER(AC246),AC246&gt;P_MaxWocheJugend),"Jugendlicher &gt; 40 h/Woche; ","")&amp;IF(AND(ISNUMBER(BD246),BD246&lt;P_Mindestlohn,Q246&lt;&gt;"Auszubildende/r",Q246&lt;&gt;"Praktikant/in"),"Mindestlohn unterschritten?; ","")&amp;IF(AND(Q246="Minijob (geringfügig)",ISNUMBER(BB246),BB246&gt;P_Minijob),"Minijob-Grenze überschritten; ","")&amp;IF(AND(R246="Ja",S246=""),"Befristung ohne Enddatum; ","")&amp;IF(AND(ISNUMBER(O246),ISNUMBER(N246),O246&lt;N246),"Austritt vor Eintritt; ","")&amp;IF(AND(ISNUMBER(AU246),ISNUMBER(AV246),AU246&lt;AV246),"Urlaub unter gesetzl. Minimum; ","")&amp;IF(AND(ISNUMBER(AC246),ISNUMBER(AF246),ABS(N(AC246)-N(AF246))&gt;0.01),"Wochenstd. weichen vom Modell ab; ","")&amp;IF(AND(AI246="Ja",OR(AJ246="",AK246="")),"Kontogrenzen fehlen; ","")&amp;IF(AND(AL246="Mit Gehalt abgegolten (Pauschale)",AM246=""),"Überstunden-Pauschale fehlt; ","")))</f>
        <v/>
      </c>
      <c r="BH246" s="38"/>
    </row>
    <row r="247" customFormat="false" ht="15" hidden="false" customHeight="false" outlineLevel="0" collapsed="false">
      <c r="A247" s="37"/>
      <c r="B247" s="38"/>
      <c r="C247" s="38"/>
      <c r="D247" s="38"/>
      <c r="E247" s="38"/>
      <c r="F247" s="39"/>
      <c r="G247" s="38"/>
      <c r="H247" s="38"/>
      <c r="I247" s="37"/>
      <c r="J247" s="38"/>
      <c r="K247" s="38"/>
      <c r="L247" s="38"/>
      <c r="M247" s="38"/>
      <c r="N247" s="39"/>
      <c r="O247" s="39"/>
      <c r="P247" s="38"/>
      <c r="Q247" s="38"/>
      <c r="R247" s="38"/>
      <c r="S247" s="39"/>
      <c r="T247" s="39"/>
      <c r="U247" s="38"/>
      <c r="V247" s="38"/>
      <c r="W247" s="37"/>
      <c r="X247" s="38"/>
      <c r="Y247" s="38"/>
      <c r="Z247" s="37"/>
      <c r="AA247" s="38"/>
      <c r="AB247" s="38"/>
      <c r="AC247" s="40"/>
      <c r="AD247" s="41"/>
      <c r="AE247" s="42" t="str">
        <f aca="false">IF(OR(A247="",NOT(ISNUMBER(AC247)),NOT(ISNUMBER(AD247))),"",IF(AD247&gt;0,AC247/AD247,""))</f>
        <v/>
      </c>
      <c r="AF247" s="42" t="str">
        <f aca="false">IF(OR(A247="",AB247=""),"",IFERROR(INDEX(Arbeitszeitmodelle!$C$5:$C$34,MATCH(AB247,Arbeitszeitmodelle!$A$5:$A$34,0)),""))</f>
        <v/>
      </c>
      <c r="AG247" s="38"/>
      <c r="AH247" s="38"/>
      <c r="AI247" s="38"/>
      <c r="AJ247" s="41"/>
      <c r="AK247" s="41"/>
      <c r="AL247" s="38"/>
      <c r="AM247" s="41"/>
      <c r="AN247" s="38"/>
      <c r="AO247" s="38"/>
      <c r="AP247" s="38"/>
      <c r="AQ247" s="38"/>
      <c r="AR247" s="41"/>
      <c r="AS247" s="40"/>
      <c r="AT247" s="39"/>
      <c r="AU247" s="41"/>
      <c r="AV247" s="43" t="str">
        <f aca="false">IF(OR(A247="",NOT(ISNUMBER(AD247))),"",P_MinUrlaubWerktage/6*AD247)</f>
        <v/>
      </c>
      <c r="AW247" s="43" t="str">
        <f aca="false">IF(A247="","",IF(M247="Ja",P_ZusatzSB*IF(ISNUMBER(AD247),AD247,5)/5,0))</f>
        <v/>
      </c>
      <c r="AX247" s="41"/>
      <c r="AY247" s="39"/>
      <c r="AZ247" s="43" t="str">
        <f aca="false">IF(OR(A247="",NOT(ISNUMBER(AU247))),"",SUM(AU247,AW247,AX247))</f>
        <v/>
      </c>
      <c r="BA247" s="38"/>
      <c r="BB247" s="44"/>
      <c r="BC247" s="44"/>
      <c r="BD247" s="45" t="str">
        <f aca="false">IF(A247="","",IF(BA247="Stundenlohn",IF(ISNUMBER(BC247),BC247,""),IF(AND(ISNUMBER(BB247),ISNUMBER(AC247)),IF(AC247&gt;0,BB247*12/(AC247*52),""),"")))</f>
        <v/>
      </c>
      <c r="BE247" s="46" t="str">
        <f aca="false">IF(OR(A247="",NOT(ISNUMBER(F247))),"",IFERROR(DATEDIF(F247,P_Stichtag,"Y"),""))</f>
        <v/>
      </c>
      <c r="BF247" s="47" t="str">
        <f aca="false">IF(OR(A247="",NOT(ISNUMBER(BE247))),"",IF(BE247&lt;18,"Ja","Nein"))</f>
        <v/>
      </c>
      <c r="BG247" s="48" t="str">
        <f aca="false">IF(A247="","",IF((IF(OR(B247="",C247="",F247="",N247="",Q247="",AB247="",AC247="",AD247="",AU247=""),"Pflichtfelder fehlen; ","")&amp;IF(AND(ISNUMBER(AC247),AC247&gt;P_MaxWoche),"Wochenstunden &gt; Prüfgrenze; ","")&amp;IF(AND(BF247="Ja",ISNUMBER(AC247),AC247&gt;P_MaxWocheJugend),"Jugendlicher &gt; 40 h/Woche; ","")&amp;IF(AND(ISNUMBER(BD247),BD247&lt;P_Mindestlohn,Q247&lt;&gt;"Auszubildende/r",Q247&lt;&gt;"Praktikant/in"),"Mindestlohn unterschritten?; ","")&amp;IF(AND(Q247="Minijob (geringfügig)",ISNUMBER(BB247),BB247&gt;P_Minijob),"Minijob-Grenze überschritten; ","")&amp;IF(AND(R247="Ja",S247=""),"Befristung ohne Enddatum; ","")&amp;IF(AND(ISNUMBER(O247),ISNUMBER(N247),O247&lt;N247),"Austritt vor Eintritt; ","")&amp;IF(AND(ISNUMBER(AU247),ISNUMBER(AV247),AU247&lt;AV247),"Urlaub unter gesetzl. Minimum; ","")&amp;IF(AND(ISNUMBER(AC247),ISNUMBER(AF247),ABS(N(AC247)-N(AF247))&gt;0.01),"Wochenstd. weichen vom Modell ab; ","")&amp;IF(AND(AI247="Ja",OR(AJ247="",AK247="")),"Kontogrenzen fehlen; ","")&amp;IF(AND(AL247="Mit Gehalt abgegolten (Pauschale)",AM247=""),"Überstunden-Pauschale fehlt; ",""))="","OK",IF(OR(B247="",C247="",F247="",N247="",Q247="",AB247="",AC247="",AD247="",AU247=""),"Pflichtfelder fehlen; ","")&amp;IF(AND(ISNUMBER(AC247),AC247&gt;P_MaxWoche),"Wochenstunden &gt; Prüfgrenze; ","")&amp;IF(AND(BF247="Ja",ISNUMBER(AC247),AC247&gt;P_MaxWocheJugend),"Jugendlicher &gt; 40 h/Woche; ","")&amp;IF(AND(ISNUMBER(BD247),BD247&lt;P_Mindestlohn,Q247&lt;&gt;"Auszubildende/r",Q247&lt;&gt;"Praktikant/in"),"Mindestlohn unterschritten?; ","")&amp;IF(AND(Q247="Minijob (geringfügig)",ISNUMBER(BB247),BB247&gt;P_Minijob),"Minijob-Grenze überschritten; ","")&amp;IF(AND(R247="Ja",S247=""),"Befristung ohne Enddatum; ","")&amp;IF(AND(ISNUMBER(O247),ISNUMBER(N247),O247&lt;N247),"Austritt vor Eintritt; ","")&amp;IF(AND(ISNUMBER(AU247),ISNUMBER(AV247),AU247&lt;AV247),"Urlaub unter gesetzl. Minimum; ","")&amp;IF(AND(ISNUMBER(AC247),ISNUMBER(AF247),ABS(N(AC247)-N(AF247))&gt;0.01),"Wochenstd. weichen vom Modell ab; ","")&amp;IF(AND(AI247="Ja",OR(AJ247="",AK247="")),"Kontogrenzen fehlen; ","")&amp;IF(AND(AL247="Mit Gehalt abgegolten (Pauschale)",AM247=""),"Überstunden-Pauschale fehlt; ","")))</f>
        <v/>
      </c>
      <c r="BH247" s="38"/>
    </row>
    <row r="248" customFormat="false" ht="15" hidden="false" customHeight="false" outlineLevel="0" collapsed="false">
      <c r="A248" s="37"/>
      <c r="B248" s="38"/>
      <c r="C248" s="38"/>
      <c r="D248" s="38"/>
      <c r="E248" s="38"/>
      <c r="F248" s="39"/>
      <c r="G248" s="38"/>
      <c r="H248" s="38"/>
      <c r="I248" s="37"/>
      <c r="J248" s="38"/>
      <c r="K248" s="38"/>
      <c r="L248" s="38"/>
      <c r="M248" s="38"/>
      <c r="N248" s="39"/>
      <c r="O248" s="39"/>
      <c r="P248" s="38"/>
      <c r="Q248" s="38"/>
      <c r="R248" s="38"/>
      <c r="S248" s="39"/>
      <c r="T248" s="39"/>
      <c r="U248" s="38"/>
      <c r="V248" s="38"/>
      <c r="W248" s="37"/>
      <c r="X248" s="38"/>
      <c r="Y248" s="38"/>
      <c r="Z248" s="37"/>
      <c r="AA248" s="38"/>
      <c r="AB248" s="38"/>
      <c r="AC248" s="40"/>
      <c r="AD248" s="41"/>
      <c r="AE248" s="42" t="str">
        <f aca="false">IF(OR(A248="",NOT(ISNUMBER(AC248)),NOT(ISNUMBER(AD248))),"",IF(AD248&gt;0,AC248/AD248,""))</f>
        <v/>
      </c>
      <c r="AF248" s="42" t="str">
        <f aca="false">IF(OR(A248="",AB248=""),"",IFERROR(INDEX(Arbeitszeitmodelle!$C$5:$C$34,MATCH(AB248,Arbeitszeitmodelle!$A$5:$A$34,0)),""))</f>
        <v/>
      </c>
      <c r="AG248" s="38"/>
      <c r="AH248" s="38"/>
      <c r="AI248" s="38"/>
      <c r="AJ248" s="41"/>
      <c r="AK248" s="41"/>
      <c r="AL248" s="38"/>
      <c r="AM248" s="41"/>
      <c r="AN248" s="38"/>
      <c r="AO248" s="38"/>
      <c r="AP248" s="38"/>
      <c r="AQ248" s="38"/>
      <c r="AR248" s="41"/>
      <c r="AS248" s="40"/>
      <c r="AT248" s="39"/>
      <c r="AU248" s="41"/>
      <c r="AV248" s="43" t="str">
        <f aca="false">IF(OR(A248="",NOT(ISNUMBER(AD248))),"",P_MinUrlaubWerktage/6*AD248)</f>
        <v/>
      </c>
      <c r="AW248" s="43" t="str">
        <f aca="false">IF(A248="","",IF(M248="Ja",P_ZusatzSB*IF(ISNUMBER(AD248),AD248,5)/5,0))</f>
        <v/>
      </c>
      <c r="AX248" s="41"/>
      <c r="AY248" s="39"/>
      <c r="AZ248" s="43" t="str">
        <f aca="false">IF(OR(A248="",NOT(ISNUMBER(AU248))),"",SUM(AU248,AW248,AX248))</f>
        <v/>
      </c>
      <c r="BA248" s="38"/>
      <c r="BB248" s="44"/>
      <c r="BC248" s="44"/>
      <c r="BD248" s="45" t="str">
        <f aca="false">IF(A248="","",IF(BA248="Stundenlohn",IF(ISNUMBER(BC248),BC248,""),IF(AND(ISNUMBER(BB248),ISNUMBER(AC248)),IF(AC248&gt;0,BB248*12/(AC248*52),""),"")))</f>
        <v/>
      </c>
      <c r="BE248" s="46" t="str">
        <f aca="false">IF(OR(A248="",NOT(ISNUMBER(F248))),"",IFERROR(DATEDIF(F248,P_Stichtag,"Y"),""))</f>
        <v/>
      </c>
      <c r="BF248" s="47" t="str">
        <f aca="false">IF(OR(A248="",NOT(ISNUMBER(BE248))),"",IF(BE248&lt;18,"Ja","Nein"))</f>
        <v/>
      </c>
      <c r="BG248" s="48" t="str">
        <f aca="false">IF(A248="","",IF((IF(OR(B248="",C248="",F248="",N248="",Q248="",AB248="",AC248="",AD248="",AU248=""),"Pflichtfelder fehlen; ","")&amp;IF(AND(ISNUMBER(AC248),AC248&gt;P_MaxWoche),"Wochenstunden &gt; Prüfgrenze; ","")&amp;IF(AND(BF248="Ja",ISNUMBER(AC248),AC248&gt;P_MaxWocheJugend),"Jugendlicher &gt; 40 h/Woche; ","")&amp;IF(AND(ISNUMBER(BD248),BD248&lt;P_Mindestlohn,Q248&lt;&gt;"Auszubildende/r",Q248&lt;&gt;"Praktikant/in"),"Mindestlohn unterschritten?; ","")&amp;IF(AND(Q248="Minijob (geringfügig)",ISNUMBER(BB248),BB248&gt;P_Minijob),"Minijob-Grenze überschritten; ","")&amp;IF(AND(R248="Ja",S248=""),"Befristung ohne Enddatum; ","")&amp;IF(AND(ISNUMBER(O248),ISNUMBER(N248),O248&lt;N248),"Austritt vor Eintritt; ","")&amp;IF(AND(ISNUMBER(AU248),ISNUMBER(AV248),AU248&lt;AV248),"Urlaub unter gesetzl. Minimum; ","")&amp;IF(AND(ISNUMBER(AC248),ISNUMBER(AF248),ABS(N(AC248)-N(AF248))&gt;0.01),"Wochenstd. weichen vom Modell ab; ","")&amp;IF(AND(AI248="Ja",OR(AJ248="",AK248="")),"Kontogrenzen fehlen; ","")&amp;IF(AND(AL248="Mit Gehalt abgegolten (Pauschale)",AM248=""),"Überstunden-Pauschale fehlt; ",""))="","OK",IF(OR(B248="",C248="",F248="",N248="",Q248="",AB248="",AC248="",AD248="",AU248=""),"Pflichtfelder fehlen; ","")&amp;IF(AND(ISNUMBER(AC248),AC248&gt;P_MaxWoche),"Wochenstunden &gt; Prüfgrenze; ","")&amp;IF(AND(BF248="Ja",ISNUMBER(AC248),AC248&gt;P_MaxWocheJugend),"Jugendlicher &gt; 40 h/Woche; ","")&amp;IF(AND(ISNUMBER(BD248),BD248&lt;P_Mindestlohn,Q248&lt;&gt;"Auszubildende/r",Q248&lt;&gt;"Praktikant/in"),"Mindestlohn unterschritten?; ","")&amp;IF(AND(Q248="Minijob (geringfügig)",ISNUMBER(BB248),BB248&gt;P_Minijob),"Minijob-Grenze überschritten; ","")&amp;IF(AND(R248="Ja",S248=""),"Befristung ohne Enddatum; ","")&amp;IF(AND(ISNUMBER(O248),ISNUMBER(N248),O248&lt;N248),"Austritt vor Eintritt; ","")&amp;IF(AND(ISNUMBER(AU248),ISNUMBER(AV248),AU248&lt;AV248),"Urlaub unter gesetzl. Minimum; ","")&amp;IF(AND(ISNUMBER(AC248),ISNUMBER(AF248),ABS(N(AC248)-N(AF248))&gt;0.01),"Wochenstd. weichen vom Modell ab; ","")&amp;IF(AND(AI248="Ja",OR(AJ248="",AK248="")),"Kontogrenzen fehlen; ","")&amp;IF(AND(AL248="Mit Gehalt abgegolten (Pauschale)",AM248=""),"Überstunden-Pauschale fehlt; ","")))</f>
        <v/>
      </c>
      <c r="BH248" s="38"/>
    </row>
    <row r="249" customFormat="false" ht="15" hidden="false" customHeight="false" outlineLevel="0" collapsed="false">
      <c r="A249" s="37"/>
      <c r="B249" s="38"/>
      <c r="C249" s="38"/>
      <c r="D249" s="38"/>
      <c r="E249" s="38"/>
      <c r="F249" s="39"/>
      <c r="G249" s="38"/>
      <c r="H249" s="38"/>
      <c r="I249" s="37"/>
      <c r="J249" s="38"/>
      <c r="K249" s="38"/>
      <c r="L249" s="38"/>
      <c r="M249" s="38"/>
      <c r="N249" s="39"/>
      <c r="O249" s="39"/>
      <c r="P249" s="38"/>
      <c r="Q249" s="38"/>
      <c r="R249" s="38"/>
      <c r="S249" s="39"/>
      <c r="T249" s="39"/>
      <c r="U249" s="38"/>
      <c r="V249" s="38"/>
      <c r="W249" s="37"/>
      <c r="X249" s="38"/>
      <c r="Y249" s="38"/>
      <c r="Z249" s="37"/>
      <c r="AA249" s="38"/>
      <c r="AB249" s="38"/>
      <c r="AC249" s="40"/>
      <c r="AD249" s="41"/>
      <c r="AE249" s="42" t="str">
        <f aca="false">IF(OR(A249="",NOT(ISNUMBER(AC249)),NOT(ISNUMBER(AD249))),"",IF(AD249&gt;0,AC249/AD249,""))</f>
        <v/>
      </c>
      <c r="AF249" s="42" t="str">
        <f aca="false">IF(OR(A249="",AB249=""),"",IFERROR(INDEX(Arbeitszeitmodelle!$C$5:$C$34,MATCH(AB249,Arbeitszeitmodelle!$A$5:$A$34,0)),""))</f>
        <v/>
      </c>
      <c r="AG249" s="38"/>
      <c r="AH249" s="38"/>
      <c r="AI249" s="38"/>
      <c r="AJ249" s="41"/>
      <c r="AK249" s="41"/>
      <c r="AL249" s="38"/>
      <c r="AM249" s="41"/>
      <c r="AN249" s="38"/>
      <c r="AO249" s="38"/>
      <c r="AP249" s="38"/>
      <c r="AQ249" s="38"/>
      <c r="AR249" s="41"/>
      <c r="AS249" s="40"/>
      <c r="AT249" s="39"/>
      <c r="AU249" s="41"/>
      <c r="AV249" s="43" t="str">
        <f aca="false">IF(OR(A249="",NOT(ISNUMBER(AD249))),"",P_MinUrlaubWerktage/6*AD249)</f>
        <v/>
      </c>
      <c r="AW249" s="43" t="str">
        <f aca="false">IF(A249="","",IF(M249="Ja",P_ZusatzSB*IF(ISNUMBER(AD249),AD249,5)/5,0))</f>
        <v/>
      </c>
      <c r="AX249" s="41"/>
      <c r="AY249" s="39"/>
      <c r="AZ249" s="43" t="str">
        <f aca="false">IF(OR(A249="",NOT(ISNUMBER(AU249))),"",SUM(AU249,AW249,AX249))</f>
        <v/>
      </c>
      <c r="BA249" s="38"/>
      <c r="BB249" s="44"/>
      <c r="BC249" s="44"/>
      <c r="BD249" s="45" t="str">
        <f aca="false">IF(A249="","",IF(BA249="Stundenlohn",IF(ISNUMBER(BC249),BC249,""),IF(AND(ISNUMBER(BB249),ISNUMBER(AC249)),IF(AC249&gt;0,BB249*12/(AC249*52),""),"")))</f>
        <v/>
      </c>
      <c r="BE249" s="46" t="str">
        <f aca="false">IF(OR(A249="",NOT(ISNUMBER(F249))),"",IFERROR(DATEDIF(F249,P_Stichtag,"Y"),""))</f>
        <v/>
      </c>
      <c r="BF249" s="47" t="str">
        <f aca="false">IF(OR(A249="",NOT(ISNUMBER(BE249))),"",IF(BE249&lt;18,"Ja","Nein"))</f>
        <v/>
      </c>
      <c r="BG249" s="48" t="str">
        <f aca="false">IF(A249="","",IF((IF(OR(B249="",C249="",F249="",N249="",Q249="",AB249="",AC249="",AD249="",AU249=""),"Pflichtfelder fehlen; ","")&amp;IF(AND(ISNUMBER(AC249),AC249&gt;P_MaxWoche),"Wochenstunden &gt; Prüfgrenze; ","")&amp;IF(AND(BF249="Ja",ISNUMBER(AC249),AC249&gt;P_MaxWocheJugend),"Jugendlicher &gt; 40 h/Woche; ","")&amp;IF(AND(ISNUMBER(BD249),BD249&lt;P_Mindestlohn,Q249&lt;&gt;"Auszubildende/r",Q249&lt;&gt;"Praktikant/in"),"Mindestlohn unterschritten?; ","")&amp;IF(AND(Q249="Minijob (geringfügig)",ISNUMBER(BB249),BB249&gt;P_Minijob),"Minijob-Grenze überschritten; ","")&amp;IF(AND(R249="Ja",S249=""),"Befristung ohne Enddatum; ","")&amp;IF(AND(ISNUMBER(O249),ISNUMBER(N249),O249&lt;N249),"Austritt vor Eintritt; ","")&amp;IF(AND(ISNUMBER(AU249),ISNUMBER(AV249),AU249&lt;AV249),"Urlaub unter gesetzl. Minimum; ","")&amp;IF(AND(ISNUMBER(AC249),ISNUMBER(AF249),ABS(N(AC249)-N(AF249))&gt;0.01),"Wochenstd. weichen vom Modell ab; ","")&amp;IF(AND(AI249="Ja",OR(AJ249="",AK249="")),"Kontogrenzen fehlen; ","")&amp;IF(AND(AL249="Mit Gehalt abgegolten (Pauschale)",AM249=""),"Überstunden-Pauschale fehlt; ",""))="","OK",IF(OR(B249="",C249="",F249="",N249="",Q249="",AB249="",AC249="",AD249="",AU249=""),"Pflichtfelder fehlen; ","")&amp;IF(AND(ISNUMBER(AC249),AC249&gt;P_MaxWoche),"Wochenstunden &gt; Prüfgrenze; ","")&amp;IF(AND(BF249="Ja",ISNUMBER(AC249),AC249&gt;P_MaxWocheJugend),"Jugendlicher &gt; 40 h/Woche; ","")&amp;IF(AND(ISNUMBER(BD249),BD249&lt;P_Mindestlohn,Q249&lt;&gt;"Auszubildende/r",Q249&lt;&gt;"Praktikant/in"),"Mindestlohn unterschritten?; ","")&amp;IF(AND(Q249="Minijob (geringfügig)",ISNUMBER(BB249),BB249&gt;P_Minijob),"Minijob-Grenze überschritten; ","")&amp;IF(AND(R249="Ja",S249=""),"Befristung ohne Enddatum; ","")&amp;IF(AND(ISNUMBER(O249),ISNUMBER(N249),O249&lt;N249),"Austritt vor Eintritt; ","")&amp;IF(AND(ISNUMBER(AU249),ISNUMBER(AV249),AU249&lt;AV249),"Urlaub unter gesetzl. Minimum; ","")&amp;IF(AND(ISNUMBER(AC249),ISNUMBER(AF249),ABS(N(AC249)-N(AF249))&gt;0.01),"Wochenstd. weichen vom Modell ab; ","")&amp;IF(AND(AI249="Ja",OR(AJ249="",AK249="")),"Kontogrenzen fehlen; ","")&amp;IF(AND(AL249="Mit Gehalt abgegolten (Pauschale)",AM249=""),"Überstunden-Pauschale fehlt; ","")))</f>
        <v/>
      </c>
      <c r="BH249" s="38"/>
    </row>
    <row r="250" customFormat="false" ht="15" hidden="false" customHeight="false" outlineLevel="0" collapsed="false">
      <c r="A250" s="37"/>
      <c r="B250" s="38"/>
      <c r="C250" s="38"/>
      <c r="D250" s="38"/>
      <c r="E250" s="38"/>
      <c r="F250" s="39"/>
      <c r="G250" s="38"/>
      <c r="H250" s="38"/>
      <c r="I250" s="37"/>
      <c r="J250" s="38"/>
      <c r="K250" s="38"/>
      <c r="L250" s="38"/>
      <c r="M250" s="38"/>
      <c r="N250" s="39"/>
      <c r="O250" s="39"/>
      <c r="P250" s="38"/>
      <c r="Q250" s="38"/>
      <c r="R250" s="38"/>
      <c r="S250" s="39"/>
      <c r="T250" s="39"/>
      <c r="U250" s="38"/>
      <c r="V250" s="38"/>
      <c r="W250" s="37"/>
      <c r="X250" s="38"/>
      <c r="Y250" s="38"/>
      <c r="Z250" s="37"/>
      <c r="AA250" s="38"/>
      <c r="AB250" s="38"/>
      <c r="AC250" s="40"/>
      <c r="AD250" s="41"/>
      <c r="AE250" s="42" t="str">
        <f aca="false">IF(OR(A250="",NOT(ISNUMBER(AC250)),NOT(ISNUMBER(AD250))),"",IF(AD250&gt;0,AC250/AD250,""))</f>
        <v/>
      </c>
      <c r="AF250" s="42" t="str">
        <f aca="false">IF(OR(A250="",AB250=""),"",IFERROR(INDEX(Arbeitszeitmodelle!$C$5:$C$34,MATCH(AB250,Arbeitszeitmodelle!$A$5:$A$34,0)),""))</f>
        <v/>
      </c>
      <c r="AG250" s="38"/>
      <c r="AH250" s="38"/>
      <c r="AI250" s="38"/>
      <c r="AJ250" s="41"/>
      <c r="AK250" s="41"/>
      <c r="AL250" s="38"/>
      <c r="AM250" s="41"/>
      <c r="AN250" s="38"/>
      <c r="AO250" s="38"/>
      <c r="AP250" s="38"/>
      <c r="AQ250" s="38"/>
      <c r="AR250" s="41"/>
      <c r="AS250" s="40"/>
      <c r="AT250" s="39"/>
      <c r="AU250" s="41"/>
      <c r="AV250" s="43" t="str">
        <f aca="false">IF(OR(A250="",NOT(ISNUMBER(AD250))),"",P_MinUrlaubWerktage/6*AD250)</f>
        <v/>
      </c>
      <c r="AW250" s="43" t="str">
        <f aca="false">IF(A250="","",IF(M250="Ja",P_ZusatzSB*IF(ISNUMBER(AD250),AD250,5)/5,0))</f>
        <v/>
      </c>
      <c r="AX250" s="41"/>
      <c r="AY250" s="39"/>
      <c r="AZ250" s="43" t="str">
        <f aca="false">IF(OR(A250="",NOT(ISNUMBER(AU250))),"",SUM(AU250,AW250,AX250))</f>
        <v/>
      </c>
      <c r="BA250" s="38"/>
      <c r="BB250" s="44"/>
      <c r="BC250" s="44"/>
      <c r="BD250" s="45" t="str">
        <f aca="false">IF(A250="","",IF(BA250="Stundenlohn",IF(ISNUMBER(BC250),BC250,""),IF(AND(ISNUMBER(BB250),ISNUMBER(AC250)),IF(AC250&gt;0,BB250*12/(AC250*52),""),"")))</f>
        <v/>
      </c>
      <c r="BE250" s="46" t="str">
        <f aca="false">IF(OR(A250="",NOT(ISNUMBER(F250))),"",IFERROR(DATEDIF(F250,P_Stichtag,"Y"),""))</f>
        <v/>
      </c>
      <c r="BF250" s="47" t="str">
        <f aca="false">IF(OR(A250="",NOT(ISNUMBER(BE250))),"",IF(BE250&lt;18,"Ja","Nein"))</f>
        <v/>
      </c>
      <c r="BG250" s="48" t="str">
        <f aca="false">IF(A250="","",IF((IF(OR(B250="",C250="",F250="",N250="",Q250="",AB250="",AC250="",AD250="",AU250=""),"Pflichtfelder fehlen; ","")&amp;IF(AND(ISNUMBER(AC250),AC250&gt;P_MaxWoche),"Wochenstunden &gt; Prüfgrenze; ","")&amp;IF(AND(BF250="Ja",ISNUMBER(AC250),AC250&gt;P_MaxWocheJugend),"Jugendlicher &gt; 40 h/Woche; ","")&amp;IF(AND(ISNUMBER(BD250),BD250&lt;P_Mindestlohn,Q250&lt;&gt;"Auszubildende/r",Q250&lt;&gt;"Praktikant/in"),"Mindestlohn unterschritten?; ","")&amp;IF(AND(Q250="Minijob (geringfügig)",ISNUMBER(BB250),BB250&gt;P_Minijob),"Minijob-Grenze überschritten; ","")&amp;IF(AND(R250="Ja",S250=""),"Befristung ohne Enddatum; ","")&amp;IF(AND(ISNUMBER(O250),ISNUMBER(N250),O250&lt;N250),"Austritt vor Eintritt; ","")&amp;IF(AND(ISNUMBER(AU250),ISNUMBER(AV250),AU250&lt;AV250),"Urlaub unter gesetzl. Minimum; ","")&amp;IF(AND(ISNUMBER(AC250),ISNUMBER(AF250),ABS(N(AC250)-N(AF250))&gt;0.01),"Wochenstd. weichen vom Modell ab; ","")&amp;IF(AND(AI250="Ja",OR(AJ250="",AK250="")),"Kontogrenzen fehlen; ","")&amp;IF(AND(AL250="Mit Gehalt abgegolten (Pauschale)",AM250=""),"Überstunden-Pauschale fehlt; ",""))="","OK",IF(OR(B250="",C250="",F250="",N250="",Q250="",AB250="",AC250="",AD250="",AU250=""),"Pflichtfelder fehlen; ","")&amp;IF(AND(ISNUMBER(AC250),AC250&gt;P_MaxWoche),"Wochenstunden &gt; Prüfgrenze; ","")&amp;IF(AND(BF250="Ja",ISNUMBER(AC250),AC250&gt;P_MaxWocheJugend),"Jugendlicher &gt; 40 h/Woche; ","")&amp;IF(AND(ISNUMBER(BD250),BD250&lt;P_Mindestlohn,Q250&lt;&gt;"Auszubildende/r",Q250&lt;&gt;"Praktikant/in"),"Mindestlohn unterschritten?; ","")&amp;IF(AND(Q250="Minijob (geringfügig)",ISNUMBER(BB250),BB250&gt;P_Minijob),"Minijob-Grenze überschritten; ","")&amp;IF(AND(R250="Ja",S250=""),"Befristung ohne Enddatum; ","")&amp;IF(AND(ISNUMBER(O250),ISNUMBER(N250),O250&lt;N250),"Austritt vor Eintritt; ","")&amp;IF(AND(ISNUMBER(AU250),ISNUMBER(AV250),AU250&lt;AV250),"Urlaub unter gesetzl. Minimum; ","")&amp;IF(AND(ISNUMBER(AC250),ISNUMBER(AF250),ABS(N(AC250)-N(AF250))&gt;0.01),"Wochenstd. weichen vom Modell ab; ","")&amp;IF(AND(AI250="Ja",OR(AJ250="",AK250="")),"Kontogrenzen fehlen; ","")&amp;IF(AND(AL250="Mit Gehalt abgegolten (Pauschale)",AM250=""),"Überstunden-Pauschale fehlt; ","")))</f>
        <v/>
      </c>
      <c r="BH250" s="38"/>
    </row>
    <row r="251" customFormat="false" ht="15" hidden="false" customHeight="false" outlineLevel="0" collapsed="false">
      <c r="A251" s="37"/>
      <c r="B251" s="38"/>
      <c r="C251" s="38"/>
      <c r="D251" s="38"/>
      <c r="E251" s="38"/>
      <c r="F251" s="39"/>
      <c r="G251" s="38"/>
      <c r="H251" s="38"/>
      <c r="I251" s="37"/>
      <c r="J251" s="38"/>
      <c r="K251" s="38"/>
      <c r="L251" s="38"/>
      <c r="M251" s="38"/>
      <c r="N251" s="39"/>
      <c r="O251" s="39"/>
      <c r="P251" s="38"/>
      <c r="Q251" s="38"/>
      <c r="R251" s="38"/>
      <c r="S251" s="39"/>
      <c r="T251" s="39"/>
      <c r="U251" s="38"/>
      <c r="V251" s="38"/>
      <c r="W251" s="37"/>
      <c r="X251" s="38"/>
      <c r="Y251" s="38"/>
      <c r="Z251" s="37"/>
      <c r="AA251" s="38"/>
      <c r="AB251" s="38"/>
      <c r="AC251" s="40"/>
      <c r="AD251" s="41"/>
      <c r="AE251" s="42" t="str">
        <f aca="false">IF(OR(A251="",NOT(ISNUMBER(AC251)),NOT(ISNUMBER(AD251))),"",IF(AD251&gt;0,AC251/AD251,""))</f>
        <v/>
      </c>
      <c r="AF251" s="42" t="str">
        <f aca="false">IF(OR(A251="",AB251=""),"",IFERROR(INDEX(Arbeitszeitmodelle!$C$5:$C$34,MATCH(AB251,Arbeitszeitmodelle!$A$5:$A$34,0)),""))</f>
        <v/>
      </c>
      <c r="AG251" s="38"/>
      <c r="AH251" s="38"/>
      <c r="AI251" s="38"/>
      <c r="AJ251" s="41"/>
      <c r="AK251" s="41"/>
      <c r="AL251" s="38"/>
      <c r="AM251" s="41"/>
      <c r="AN251" s="38"/>
      <c r="AO251" s="38"/>
      <c r="AP251" s="38"/>
      <c r="AQ251" s="38"/>
      <c r="AR251" s="41"/>
      <c r="AS251" s="40"/>
      <c r="AT251" s="39"/>
      <c r="AU251" s="41"/>
      <c r="AV251" s="43" t="str">
        <f aca="false">IF(OR(A251="",NOT(ISNUMBER(AD251))),"",P_MinUrlaubWerktage/6*AD251)</f>
        <v/>
      </c>
      <c r="AW251" s="43" t="str">
        <f aca="false">IF(A251="","",IF(M251="Ja",P_ZusatzSB*IF(ISNUMBER(AD251),AD251,5)/5,0))</f>
        <v/>
      </c>
      <c r="AX251" s="41"/>
      <c r="AY251" s="39"/>
      <c r="AZ251" s="43" t="str">
        <f aca="false">IF(OR(A251="",NOT(ISNUMBER(AU251))),"",SUM(AU251,AW251,AX251))</f>
        <v/>
      </c>
      <c r="BA251" s="38"/>
      <c r="BB251" s="44"/>
      <c r="BC251" s="44"/>
      <c r="BD251" s="45" t="str">
        <f aca="false">IF(A251="","",IF(BA251="Stundenlohn",IF(ISNUMBER(BC251),BC251,""),IF(AND(ISNUMBER(BB251),ISNUMBER(AC251)),IF(AC251&gt;0,BB251*12/(AC251*52),""),"")))</f>
        <v/>
      </c>
      <c r="BE251" s="46" t="str">
        <f aca="false">IF(OR(A251="",NOT(ISNUMBER(F251))),"",IFERROR(DATEDIF(F251,P_Stichtag,"Y"),""))</f>
        <v/>
      </c>
      <c r="BF251" s="47" t="str">
        <f aca="false">IF(OR(A251="",NOT(ISNUMBER(BE251))),"",IF(BE251&lt;18,"Ja","Nein"))</f>
        <v/>
      </c>
      <c r="BG251" s="48" t="str">
        <f aca="false">IF(A251="","",IF((IF(OR(B251="",C251="",F251="",N251="",Q251="",AB251="",AC251="",AD251="",AU251=""),"Pflichtfelder fehlen; ","")&amp;IF(AND(ISNUMBER(AC251),AC251&gt;P_MaxWoche),"Wochenstunden &gt; Prüfgrenze; ","")&amp;IF(AND(BF251="Ja",ISNUMBER(AC251),AC251&gt;P_MaxWocheJugend),"Jugendlicher &gt; 40 h/Woche; ","")&amp;IF(AND(ISNUMBER(BD251),BD251&lt;P_Mindestlohn,Q251&lt;&gt;"Auszubildende/r",Q251&lt;&gt;"Praktikant/in"),"Mindestlohn unterschritten?; ","")&amp;IF(AND(Q251="Minijob (geringfügig)",ISNUMBER(BB251),BB251&gt;P_Minijob),"Minijob-Grenze überschritten; ","")&amp;IF(AND(R251="Ja",S251=""),"Befristung ohne Enddatum; ","")&amp;IF(AND(ISNUMBER(O251),ISNUMBER(N251),O251&lt;N251),"Austritt vor Eintritt; ","")&amp;IF(AND(ISNUMBER(AU251),ISNUMBER(AV251),AU251&lt;AV251),"Urlaub unter gesetzl. Minimum; ","")&amp;IF(AND(ISNUMBER(AC251),ISNUMBER(AF251),ABS(N(AC251)-N(AF251))&gt;0.01),"Wochenstd. weichen vom Modell ab; ","")&amp;IF(AND(AI251="Ja",OR(AJ251="",AK251="")),"Kontogrenzen fehlen; ","")&amp;IF(AND(AL251="Mit Gehalt abgegolten (Pauschale)",AM251=""),"Überstunden-Pauschale fehlt; ",""))="","OK",IF(OR(B251="",C251="",F251="",N251="",Q251="",AB251="",AC251="",AD251="",AU251=""),"Pflichtfelder fehlen; ","")&amp;IF(AND(ISNUMBER(AC251),AC251&gt;P_MaxWoche),"Wochenstunden &gt; Prüfgrenze; ","")&amp;IF(AND(BF251="Ja",ISNUMBER(AC251),AC251&gt;P_MaxWocheJugend),"Jugendlicher &gt; 40 h/Woche; ","")&amp;IF(AND(ISNUMBER(BD251),BD251&lt;P_Mindestlohn,Q251&lt;&gt;"Auszubildende/r",Q251&lt;&gt;"Praktikant/in"),"Mindestlohn unterschritten?; ","")&amp;IF(AND(Q251="Minijob (geringfügig)",ISNUMBER(BB251),BB251&gt;P_Minijob),"Minijob-Grenze überschritten; ","")&amp;IF(AND(R251="Ja",S251=""),"Befristung ohne Enddatum; ","")&amp;IF(AND(ISNUMBER(O251),ISNUMBER(N251),O251&lt;N251),"Austritt vor Eintritt; ","")&amp;IF(AND(ISNUMBER(AU251),ISNUMBER(AV251),AU251&lt;AV251),"Urlaub unter gesetzl. Minimum; ","")&amp;IF(AND(ISNUMBER(AC251),ISNUMBER(AF251),ABS(N(AC251)-N(AF251))&gt;0.01),"Wochenstd. weichen vom Modell ab; ","")&amp;IF(AND(AI251="Ja",OR(AJ251="",AK251="")),"Kontogrenzen fehlen; ","")&amp;IF(AND(AL251="Mit Gehalt abgegolten (Pauschale)",AM251=""),"Überstunden-Pauschale fehlt; ","")))</f>
        <v/>
      </c>
      <c r="BH251" s="38"/>
    </row>
    <row r="252" customFormat="false" ht="15" hidden="false" customHeight="false" outlineLevel="0" collapsed="false">
      <c r="A252" s="37"/>
      <c r="B252" s="38"/>
      <c r="C252" s="38"/>
      <c r="D252" s="38"/>
      <c r="E252" s="38"/>
      <c r="F252" s="39"/>
      <c r="G252" s="38"/>
      <c r="H252" s="38"/>
      <c r="I252" s="37"/>
      <c r="J252" s="38"/>
      <c r="K252" s="38"/>
      <c r="L252" s="38"/>
      <c r="M252" s="38"/>
      <c r="N252" s="39"/>
      <c r="O252" s="39"/>
      <c r="P252" s="38"/>
      <c r="Q252" s="38"/>
      <c r="R252" s="38"/>
      <c r="S252" s="39"/>
      <c r="T252" s="39"/>
      <c r="U252" s="38"/>
      <c r="V252" s="38"/>
      <c r="W252" s="37"/>
      <c r="X252" s="38"/>
      <c r="Y252" s="38"/>
      <c r="Z252" s="37"/>
      <c r="AA252" s="38"/>
      <c r="AB252" s="38"/>
      <c r="AC252" s="40"/>
      <c r="AD252" s="41"/>
      <c r="AE252" s="42" t="str">
        <f aca="false">IF(OR(A252="",NOT(ISNUMBER(AC252)),NOT(ISNUMBER(AD252))),"",IF(AD252&gt;0,AC252/AD252,""))</f>
        <v/>
      </c>
      <c r="AF252" s="42" t="str">
        <f aca="false">IF(OR(A252="",AB252=""),"",IFERROR(INDEX(Arbeitszeitmodelle!$C$5:$C$34,MATCH(AB252,Arbeitszeitmodelle!$A$5:$A$34,0)),""))</f>
        <v/>
      </c>
      <c r="AG252" s="38"/>
      <c r="AH252" s="38"/>
      <c r="AI252" s="38"/>
      <c r="AJ252" s="41"/>
      <c r="AK252" s="41"/>
      <c r="AL252" s="38"/>
      <c r="AM252" s="41"/>
      <c r="AN252" s="38"/>
      <c r="AO252" s="38"/>
      <c r="AP252" s="38"/>
      <c r="AQ252" s="38"/>
      <c r="AR252" s="41"/>
      <c r="AS252" s="40"/>
      <c r="AT252" s="39"/>
      <c r="AU252" s="41"/>
      <c r="AV252" s="43" t="str">
        <f aca="false">IF(OR(A252="",NOT(ISNUMBER(AD252))),"",P_MinUrlaubWerktage/6*AD252)</f>
        <v/>
      </c>
      <c r="AW252" s="43" t="str">
        <f aca="false">IF(A252="","",IF(M252="Ja",P_ZusatzSB*IF(ISNUMBER(AD252),AD252,5)/5,0))</f>
        <v/>
      </c>
      <c r="AX252" s="41"/>
      <c r="AY252" s="39"/>
      <c r="AZ252" s="43" t="str">
        <f aca="false">IF(OR(A252="",NOT(ISNUMBER(AU252))),"",SUM(AU252,AW252,AX252))</f>
        <v/>
      </c>
      <c r="BA252" s="38"/>
      <c r="BB252" s="44"/>
      <c r="BC252" s="44"/>
      <c r="BD252" s="45" t="str">
        <f aca="false">IF(A252="","",IF(BA252="Stundenlohn",IF(ISNUMBER(BC252),BC252,""),IF(AND(ISNUMBER(BB252),ISNUMBER(AC252)),IF(AC252&gt;0,BB252*12/(AC252*52),""),"")))</f>
        <v/>
      </c>
      <c r="BE252" s="46" t="str">
        <f aca="false">IF(OR(A252="",NOT(ISNUMBER(F252))),"",IFERROR(DATEDIF(F252,P_Stichtag,"Y"),""))</f>
        <v/>
      </c>
      <c r="BF252" s="47" t="str">
        <f aca="false">IF(OR(A252="",NOT(ISNUMBER(BE252))),"",IF(BE252&lt;18,"Ja","Nein"))</f>
        <v/>
      </c>
      <c r="BG252" s="48" t="str">
        <f aca="false">IF(A252="","",IF((IF(OR(B252="",C252="",F252="",N252="",Q252="",AB252="",AC252="",AD252="",AU252=""),"Pflichtfelder fehlen; ","")&amp;IF(AND(ISNUMBER(AC252),AC252&gt;P_MaxWoche),"Wochenstunden &gt; Prüfgrenze; ","")&amp;IF(AND(BF252="Ja",ISNUMBER(AC252),AC252&gt;P_MaxWocheJugend),"Jugendlicher &gt; 40 h/Woche; ","")&amp;IF(AND(ISNUMBER(BD252),BD252&lt;P_Mindestlohn,Q252&lt;&gt;"Auszubildende/r",Q252&lt;&gt;"Praktikant/in"),"Mindestlohn unterschritten?; ","")&amp;IF(AND(Q252="Minijob (geringfügig)",ISNUMBER(BB252),BB252&gt;P_Minijob),"Minijob-Grenze überschritten; ","")&amp;IF(AND(R252="Ja",S252=""),"Befristung ohne Enddatum; ","")&amp;IF(AND(ISNUMBER(O252),ISNUMBER(N252),O252&lt;N252),"Austritt vor Eintritt; ","")&amp;IF(AND(ISNUMBER(AU252),ISNUMBER(AV252),AU252&lt;AV252),"Urlaub unter gesetzl. Minimum; ","")&amp;IF(AND(ISNUMBER(AC252),ISNUMBER(AF252),ABS(N(AC252)-N(AF252))&gt;0.01),"Wochenstd. weichen vom Modell ab; ","")&amp;IF(AND(AI252="Ja",OR(AJ252="",AK252="")),"Kontogrenzen fehlen; ","")&amp;IF(AND(AL252="Mit Gehalt abgegolten (Pauschale)",AM252=""),"Überstunden-Pauschale fehlt; ",""))="","OK",IF(OR(B252="",C252="",F252="",N252="",Q252="",AB252="",AC252="",AD252="",AU252=""),"Pflichtfelder fehlen; ","")&amp;IF(AND(ISNUMBER(AC252),AC252&gt;P_MaxWoche),"Wochenstunden &gt; Prüfgrenze; ","")&amp;IF(AND(BF252="Ja",ISNUMBER(AC252),AC252&gt;P_MaxWocheJugend),"Jugendlicher &gt; 40 h/Woche; ","")&amp;IF(AND(ISNUMBER(BD252),BD252&lt;P_Mindestlohn,Q252&lt;&gt;"Auszubildende/r",Q252&lt;&gt;"Praktikant/in"),"Mindestlohn unterschritten?; ","")&amp;IF(AND(Q252="Minijob (geringfügig)",ISNUMBER(BB252),BB252&gt;P_Minijob),"Minijob-Grenze überschritten; ","")&amp;IF(AND(R252="Ja",S252=""),"Befristung ohne Enddatum; ","")&amp;IF(AND(ISNUMBER(O252),ISNUMBER(N252),O252&lt;N252),"Austritt vor Eintritt; ","")&amp;IF(AND(ISNUMBER(AU252),ISNUMBER(AV252),AU252&lt;AV252),"Urlaub unter gesetzl. Minimum; ","")&amp;IF(AND(ISNUMBER(AC252),ISNUMBER(AF252),ABS(N(AC252)-N(AF252))&gt;0.01),"Wochenstd. weichen vom Modell ab; ","")&amp;IF(AND(AI252="Ja",OR(AJ252="",AK252="")),"Kontogrenzen fehlen; ","")&amp;IF(AND(AL252="Mit Gehalt abgegolten (Pauschale)",AM252=""),"Überstunden-Pauschale fehlt; ","")))</f>
        <v/>
      </c>
      <c r="BH252" s="38"/>
    </row>
    <row r="253" customFormat="false" ht="15" hidden="false" customHeight="false" outlineLevel="0" collapsed="false">
      <c r="A253" s="37"/>
      <c r="B253" s="38"/>
      <c r="C253" s="38"/>
      <c r="D253" s="38"/>
      <c r="E253" s="38"/>
      <c r="F253" s="39"/>
      <c r="G253" s="38"/>
      <c r="H253" s="38"/>
      <c r="I253" s="37"/>
      <c r="J253" s="38"/>
      <c r="K253" s="38"/>
      <c r="L253" s="38"/>
      <c r="M253" s="38"/>
      <c r="N253" s="39"/>
      <c r="O253" s="39"/>
      <c r="P253" s="38"/>
      <c r="Q253" s="38"/>
      <c r="R253" s="38"/>
      <c r="S253" s="39"/>
      <c r="T253" s="39"/>
      <c r="U253" s="38"/>
      <c r="V253" s="38"/>
      <c r="W253" s="37"/>
      <c r="X253" s="38"/>
      <c r="Y253" s="38"/>
      <c r="Z253" s="37"/>
      <c r="AA253" s="38"/>
      <c r="AB253" s="38"/>
      <c r="AC253" s="40"/>
      <c r="AD253" s="41"/>
      <c r="AE253" s="42" t="str">
        <f aca="false">IF(OR(A253="",NOT(ISNUMBER(AC253)),NOT(ISNUMBER(AD253))),"",IF(AD253&gt;0,AC253/AD253,""))</f>
        <v/>
      </c>
      <c r="AF253" s="42" t="str">
        <f aca="false">IF(OR(A253="",AB253=""),"",IFERROR(INDEX(Arbeitszeitmodelle!$C$5:$C$34,MATCH(AB253,Arbeitszeitmodelle!$A$5:$A$34,0)),""))</f>
        <v/>
      </c>
      <c r="AG253" s="38"/>
      <c r="AH253" s="38"/>
      <c r="AI253" s="38"/>
      <c r="AJ253" s="41"/>
      <c r="AK253" s="41"/>
      <c r="AL253" s="38"/>
      <c r="AM253" s="41"/>
      <c r="AN253" s="38"/>
      <c r="AO253" s="38"/>
      <c r="AP253" s="38"/>
      <c r="AQ253" s="38"/>
      <c r="AR253" s="41"/>
      <c r="AS253" s="40"/>
      <c r="AT253" s="39"/>
      <c r="AU253" s="41"/>
      <c r="AV253" s="43" t="str">
        <f aca="false">IF(OR(A253="",NOT(ISNUMBER(AD253))),"",P_MinUrlaubWerktage/6*AD253)</f>
        <v/>
      </c>
      <c r="AW253" s="43" t="str">
        <f aca="false">IF(A253="","",IF(M253="Ja",P_ZusatzSB*IF(ISNUMBER(AD253),AD253,5)/5,0))</f>
        <v/>
      </c>
      <c r="AX253" s="41"/>
      <c r="AY253" s="39"/>
      <c r="AZ253" s="43" t="str">
        <f aca="false">IF(OR(A253="",NOT(ISNUMBER(AU253))),"",SUM(AU253,AW253,AX253))</f>
        <v/>
      </c>
      <c r="BA253" s="38"/>
      <c r="BB253" s="44"/>
      <c r="BC253" s="44"/>
      <c r="BD253" s="45" t="str">
        <f aca="false">IF(A253="","",IF(BA253="Stundenlohn",IF(ISNUMBER(BC253),BC253,""),IF(AND(ISNUMBER(BB253),ISNUMBER(AC253)),IF(AC253&gt;0,BB253*12/(AC253*52),""),"")))</f>
        <v/>
      </c>
      <c r="BE253" s="46" t="str">
        <f aca="false">IF(OR(A253="",NOT(ISNUMBER(F253))),"",IFERROR(DATEDIF(F253,P_Stichtag,"Y"),""))</f>
        <v/>
      </c>
      <c r="BF253" s="47" t="str">
        <f aca="false">IF(OR(A253="",NOT(ISNUMBER(BE253))),"",IF(BE253&lt;18,"Ja","Nein"))</f>
        <v/>
      </c>
      <c r="BG253" s="48" t="str">
        <f aca="false">IF(A253="","",IF((IF(OR(B253="",C253="",F253="",N253="",Q253="",AB253="",AC253="",AD253="",AU253=""),"Pflichtfelder fehlen; ","")&amp;IF(AND(ISNUMBER(AC253),AC253&gt;P_MaxWoche),"Wochenstunden &gt; Prüfgrenze; ","")&amp;IF(AND(BF253="Ja",ISNUMBER(AC253),AC253&gt;P_MaxWocheJugend),"Jugendlicher &gt; 40 h/Woche; ","")&amp;IF(AND(ISNUMBER(BD253),BD253&lt;P_Mindestlohn,Q253&lt;&gt;"Auszubildende/r",Q253&lt;&gt;"Praktikant/in"),"Mindestlohn unterschritten?; ","")&amp;IF(AND(Q253="Minijob (geringfügig)",ISNUMBER(BB253),BB253&gt;P_Minijob),"Minijob-Grenze überschritten; ","")&amp;IF(AND(R253="Ja",S253=""),"Befristung ohne Enddatum; ","")&amp;IF(AND(ISNUMBER(O253),ISNUMBER(N253),O253&lt;N253),"Austritt vor Eintritt; ","")&amp;IF(AND(ISNUMBER(AU253),ISNUMBER(AV253),AU253&lt;AV253),"Urlaub unter gesetzl. Minimum; ","")&amp;IF(AND(ISNUMBER(AC253),ISNUMBER(AF253),ABS(N(AC253)-N(AF253))&gt;0.01),"Wochenstd. weichen vom Modell ab; ","")&amp;IF(AND(AI253="Ja",OR(AJ253="",AK253="")),"Kontogrenzen fehlen; ","")&amp;IF(AND(AL253="Mit Gehalt abgegolten (Pauschale)",AM253=""),"Überstunden-Pauschale fehlt; ",""))="","OK",IF(OR(B253="",C253="",F253="",N253="",Q253="",AB253="",AC253="",AD253="",AU253=""),"Pflichtfelder fehlen; ","")&amp;IF(AND(ISNUMBER(AC253),AC253&gt;P_MaxWoche),"Wochenstunden &gt; Prüfgrenze; ","")&amp;IF(AND(BF253="Ja",ISNUMBER(AC253),AC253&gt;P_MaxWocheJugend),"Jugendlicher &gt; 40 h/Woche; ","")&amp;IF(AND(ISNUMBER(BD253),BD253&lt;P_Mindestlohn,Q253&lt;&gt;"Auszubildende/r",Q253&lt;&gt;"Praktikant/in"),"Mindestlohn unterschritten?; ","")&amp;IF(AND(Q253="Minijob (geringfügig)",ISNUMBER(BB253),BB253&gt;P_Minijob),"Minijob-Grenze überschritten; ","")&amp;IF(AND(R253="Ja",S253=""),"Befristung ohne Enddatum; ","")&amp;IF(AND(ISNUMBER(O253),ISNUMBER(N253),O253&lt;N253),"Austritt vor Eintritt; ","")&amp;IF(AND(ISNUMBER(AU253),ISNUMBER(AV253),AU253&lt;AV253),"Urlaub unter gesetzl. Minimum; ","")&amp;IF(AND(ISNUMBER(AC253),ISNUMBER(AF253),ABS(N(AC253)-N(AF253))&gt;0.01),"Wochenstd. weichen vom Modell ab; ","")&amp;IF(AND(AI253="Ja",OR(AJ253="",AK253="")),"Kontogrenzen fehlen; ","")&amp;IF(AND(AL253="Mit Gehalt abgegolten (Pauschale)",AM253=""),"Überstunden-Pauschale fehlt; ","")))</f>
        <v/>
      </c>
      <c r="BH253" s="38"/>
    </row>
    <row r="254" customFormat="false" ht="15" hidden="false" customHeight="false" outlineLevel="0" collapsed="false">
      <c r="A254" s="37"/>
      <c r="B254" s="38"/>
      <c r="C254" s="38"/>
      <c r="D254" s="38"/>
      <c r="E254" s="38"/>
      <c r="F254" s="39"/>
      <c r="G254" s="38"/>
      <c r="H254" s="38"/>
      <c r="I254" s="37"/>
      <c r="J254" s="38"/>
      <c r="K254" s="38"/>
      <c r="L254" s="38"/>
      <c r="M254" s="38"/>
      <c r="N254" s="39"/>
      <c r="O254" s="39"/>
      <c r="P254" s="38"/>
      <c r="Q254" s="38"/>
      <c r="R254" s="38"/>
      <c r="S254" s="39"/>
      <c r="T254" s="39"/>
      <c r="U254" s="38"/>
      <c r="V254" s="38"/>
      <c r="W254" s="37"/>
      <c r="X254" s="38"/>
      <c r="Y254" s="38"/>
      <c r="Z254" s="37"/>
      <c r="AA254" s="38"/>
      <c r="AB254" s="38"/>
      <c r="AC254" s="40"/>
      <c r="AD254" s="41"/>
      <c r="AE254" s="42" t="str">
        <f aca="false">IF(OR(A254="",NOT(ISNUMBER(AC254)),NOT(ISNUMBER(AD254))),"",IF(AD254&gt;0,AC254/AD254,""))</f>
        <v/>
      </c>
      <c r="AF254" s="42" t="str">
        <f aca="false">IF(OR(A254="",AB254=""),"",IFERROR(INDEX(Arbeitszeitmodelle!$C$5:$C$34,MATCH(AB254,Arbeitszeitmodelle!$A$5:$A$34,0)),""))</f>
        <v/>
      </c>
      <c r="AG254" s="38"/>
      <c r="AH254" s="38"/>
      <c r="AI254" s="38"/>
      <c r="AJ254" s="41"/>
      <c r="AK254" s="41"/>
      <c r="AL254" s="38"/>
      <c r="AM254" s="41"/>
      <c r="AN254" s="38"/>
      <c r="AO254" s="38"/>
      <c r="AP254" s="38"/>
      <c r="AQ254" s="38"/>
      <c r="AR254" s="41"/>
      <c r="AS254" s="40"/>
      <c r="AT254" s="39"/>
      <c r="AU254" s="41"/>
      <c r="AV254" s="43" t="str">
        <f aca="false">IF(OR(A254="",NOT(ISNUMBER(AD254))),"",P_MinUrlaubWerktage/6*AD254)</f>
        <v/>
      </c>
      <c r="AW254" s="43" t="str">
        <f aca="false">IF(A254="","",IF(M254="Ja",P_ZusatzSB*IF(ISNUMBER(AD254),AD254,5)/5,0))</f>
        <v/>
      </c>
      <c r="AX254" s="41"/>
      <c r="AY254" s="39"/>
      <c r="AZ254" s="43" t="str">
        <f aca="false">IF(OR(A254="",NOT(ISNUMBER(AU254))),"",SUM(AU254,AW254,AX254))</f>
        <v/>
      </c>
      <c r="BA254" s="38"/>
      <c r="BB254" s="44"/>
      <c r="BC254" s="44"/>
      <c r="BD254" s="45" t="str">
        <f aca="false">IF(A254="","",IF(BA254="Stundenlohn",IF(ISNUMBER(BC254),BC254,""),IF(AND(ISNUMBER(BB254),ISNUMBER(AC254)),IF(AC254&gt;0,BB254*12/(AC254*52),""),"")))</f>
        <v/>
      </c>
      <c r="BE254" s="46" t="str">
        <f aca="false">IF(OR(A254="",NOT(ISNUMBER(F254))),"",IFERROR(DATEDIF(F254,P_Stichtag,"Y"),""))</f>
        <v/>
      </c>
      <c r="BF254" s="47" t="str">
        <f aca="false">IF(OR(A254="",NOT(ISNUMBER(BE254))),"",IF(BE254&lt;18,"Ja","Nein"))</f>
        <v/>
      </c>
      <c r="BG254" s="48" t="str">
        <f aca="false">IF(A254="","",IF((IF(OR(B254="",C254="",F254="",N254="",Q254="",AB254="",AC254="",AD254="",AU254=""),"Pflichtfelder fehlen; ","")&amp;IF(AND(ISNUMBER(AC254),AC254&gt;P_MaxWoche),"Wochenstunden &gt; Prüfgrenze; ","")&amp;IF(AND(BF254="Ja",ISNUMBER(AC254),AC254&gt;P_MaxWocheJugend),"Jugendlicher &gt; 40 h/Woche; ","")&amp;IF(AND(ISNUMBER(BD254),BD254&lt;P_Mindestlohn,Q254&lt;&gt;"Auszubildende/r",Q254&lt;&gt;"Praktikant/in"),"Mindestlohn unterschritten?; ","")&amp;IF(AND(Q254="Minijob (geringfügig)",ISNUMBER(BB254),BB254&gt;P_Minijob),"Minijob-Grenze überschritten; ","")&amp;IF(AND(R254="Ja",S254=""),"Befristung ohne Enddatum; ","")&amp;IF(AND(ISNUMBER(O254),ISNUMBER(N254),O254&lt;N254),"Austritt vor Eintritt; ","")&amp;IF(AND(ISNUMBER(AU254),ISNUMBER(AV254),AU254&lt;AV254),"Urlaub unter gesetzl. Minimum; ","")&amp;IF(AND(ISNUMBER(AC254),ISNUMBER(AF254),ABS(N(AC254)-N(AF254))&gt;0.01),"Wochenstd. weichen vom Modell ab; ","")&amp;IF(AND(AI254="Ja",OR(AJ254="",AK254="")),"Kontogrenzen fehlen; ","")&amp;IF(AND(AL254="Mit Gehalt abgegolten (Pauschale)",AM254=""),"Überstunden-Pauschale fehlt; ",""))="","OK",IF(OR(B254="",C254="",F254="",N254="",Q254="",AB254="",AC254="",AD254="",AU254=""),"Pflichtfelder fehlen; ","")&amp;IF(AND(ISNUMBER(AC254),AC254&gt;P_MaxWoche),"Wochenstunden &gt; Prüfgrenze; ","")&amp;IF(AND(BF254="Ja",ISNUMBER(AC254),AC254&gt;P_MaxWocheJugend),"Jugendlicher &gt; 40 h/Woche; ","")&amp;IF(AND(ISNUMBER(BD254),BD254&lt;P_Mindestlohn,Q254&lt;&gt;"Auszubildende/r",Q254&lt;&gt;"Praktikant/in"),"Mindestlohn unterschritten?; ","")&amp;IF(AND(Q254="Minijob (geringfügig)",ISNUMBER(BB254),BB254&gt;P_Minijob),"Minijob-Grenze überschritten; ","")&amp;IF(AND(R254="Ja",S254=""),"Befristung ohne Enddatum; ","")&amp;IF(AND(ISNUMBER(O254),ISNUMBER(N254),O254&lt;N254),"Austritt vor Eintritt; ","")&amp;IF(AND(ISNUMBER(AU254),ISNUMBER(AV254),AU254&lt;AV254),"Urlaub unter gesetzl. Minimum; ","")&amp;IF(AND(ISNUMBER(AC254),ISNUMBER(AF254),ABS(N(AC254)-N(AF254))&gt;0.01),"Wochenstd. weichen vom Modell ab; ","")&amp;IF(AND(AI254="Ja",OR(AJ254="",AK254="")),"Kontogrenzen fehlen; ","")&amp;IF(AND(AL254="Mit Gehalt abgegolten (Pauschale)",AM254=""),"Überstunden-Pauschale fehlt; ","")))</f>
        <v/>
      </c>
      <c r="BH254" s="38"/>
    </row>
    <row r="255" customFormat="false" ht="15" hidden="false" customHeight="false" outlineLevel="0" collapsed="false">
      <c r="A255" s="37"/>
      <c r="B255" s="38"/>
      <c r="C255" s="38"/>
      <c r="D255" s="38"/>
      <c r="E255" s="38"/>
      <c r="F255" s="39"/>
      <c r="G255" s="38"/>
      <c r="H255" s="38"/>
      <c r="I255" s="37"/>
      <c r="J255" s="38"/>
      <c r="K255" s="38"/>
      <c r="L255" s="38"/>
      <c r="M255" s="38"/>
      <c r="N255" s="39"/>
      <c r="O255" s="39"/>
      <c r="P255" s="38"/>
      <c r="Q255" s="38"/>
      <c r="R255" s="38"/>
      <c r="S255" s="39"/>
      <c r="T255" s="39"/>
      <c r="U255" s="38"/>
      <c r="V255" s="38"/>
      <c r="W255" s="37"/>
      <c r="X255" s="38"/>
      <c r="Y255" s="38"/>
      <c r="Z255" s="37"/>
      <c r="AA255" s="38"/>
      <c r="AB255" s="38"/>
      <c r="AC255" s="40"/>
      <c r="AD255" s="41"/>
      <c r="AE255" s="42" t="str">
        <f aca="false">IF(OR(A255="",NOT(ISNUMBER(AC255)),NOT(ISNUMBER(AD255))),"",IF(AD255&gt;0,AC255/AD255,""))</f>
        <v/>
      </c>
      <c r="AF255" s="42" t="str">
        <f aca="false">IF(OR(A255="",AB255=""),"",IFERROR(INDEX(Arbeitszeitmodelle!$C$5:$C$34,MATCH(AB255,Arbeitszeitmodelle!$A$5:$A$34,0)),""))</f>
        <v/>
      </c>
      <c r="AG255" s="38"/>
      <c r="AH255" s="38"/>
      <c r="AI255" s="38"/>
      <c r="AJ255" s="41"/>
      <c r="AK255" s="41"/>
      <c r="AL255" s="38"/>
      <c r="AM255" s="41"/>
      <c r="AN255" s="38"/>
      <c r="AO255" s="38"/>
      <c r="AP255" s="38"/>
      <c r="AQ255" s="38"/>
      <c r="AR255" s="41"/>
      <c r="AS255" s="40"/>
      <c r="AT255" s="39"/>
      <c r="AU255" s="41"/>
      <c r="AV255" s="43" t="str">
        <f aca="false">IF(OR(A255="",NOT(ISNUMBER(AD255))),"",P_MinUrlaubWerktage/6*AD255)</f>
        <v/>
      </c>
      <c r="AW255" s="43" t="str">
        <f aca="false">IF(A255="","",IF(M255="Ja",P_ZusatzSB*IF(ISNUMBER(AD255),AD255,5)/5,0))</f>
        <v/>
      </c>
      <c r="AX255" s="41"/>
      <c r="AY255" s="39"/>
      <c r="AZ255" s="43" t="str">
        <f aca="false">IF(OR(A255="",NOT(ISNUMBER(AU255))),"",SUM(AU255,AW255,AX255))</f>
        <v/>
      </c>
      <c r="BA255" s="38"/>
      <c r="BB255" s="44"/>
      <c r="BC255" s="44"/>
      <c r="BD255" s="45" t="str">
        <f aca="false">IF(A255="","",IF(BA255="Stundenlohn",IF(ISNUMBER(BC255),BC255,""),IF(AND(ISNUMBER(BB255),ISNUMBER(AC255)),IF(AC255&gt;0,BB255*12/(AC255*52),""),"")))</f>
        <v/>
      </c>
      <c r="BE255" s="46" t="str">
        <f aca="false">IF(OR(A255="",NOT(ISNUMBER(F255))),"",IFERROR(DATEDIF(F255,P_Stichtag,"Y"),""))</f>
        <v/>
      </c>
      <c r="BF255" s="47" t="str">
        <f aca="false">IF(OR(A255="",NOT(ISNUMBER(BE255))),"",IF(BE255&lt;18,"Ja","Nein"))</f>
        <v/>
      </c>
      <c r="BG255" s="48" t="str">
        <f aca="false">IF(A255="","",IF((IF(OR(B255="",C255="",F255="",N255="",Q255="",AB255="",AC255="",AD255="",AU255=""),"Pflichtfelder fehlen; ","")&amp;IF(AND(ISNUMBER(AC255),AC255&gt;P_MaxWoche),"Wochenstunden &gt; Prüfgrenze; ","")&amp;IF(AND(BF255="Ja",ISNUMBER(AC255),AC255&gt;P_MaxWocheJugend),"Jugendlicher &gt; 40 h/Woche; ","")&amp;IF(AND(ISNUMBER(BD255),BD255&lt;P_Mindestlohn,Q255&lt;&gt;"Auszubildende/r",Q255&lt;&gt;"Praktikant/in"),"Mindestlohn unterschritten?; ","")&amp;IF(AND(Q255="Minijob (geringfügig)",ISNUMBER(BB255),BB255&gt;P_Minijob),"Minijob-Grenze überschritten; ","")&amp;IF(AND(R255="Ja",S255=""),"Befristung ohne Enddatum; ","")&amp;IF(AND(ISNUMBER(O255),ISNUMBER(N255),O255&lt;N255),"Austritt vor Eintritt; ","")&amp;IF(AND(ISNUMBER(AU255),ISNUMBER(AV255),AU255&lt;AV255),"Urlaub unter gesetzl. Minimum; ","")&amp;IF(AND(ISNUMBER(AC255),ISNUMBER(AF255),ABS(N(AC255)-N(AF255))&gt;0.01),"Wochenstd. weichen vom Modell ab; ","")&amp;IF(AND(AI255="Ja",OR(AJ255="",AK255="")),"Kontogrenzen fehlen; ","")&amp;IF(AND(AL255="Mit Gehalt abgegolten (Pauschale)",AM255=""),"Überstunden-Pauschale fehlt; ",""))="","OK",IF(OR(B255="",C255="",F255="",N255="",Q255="",AB255="",AC255="",AD255="",AU255=""),"Pflichtfelder fehlen; ","")&amp;IF(AND(ISNUMBER(AC255),AC255&gt;P_MaxWoche),"Wochenstunden &gt; Prüfgrenze; ","")&amp;IF(AND(BF255="Ja",ISNUMBER(AC255),AC255&gt;P_MaxWocheJugend),"Jugendlicher &gt; 40 h/Woche; ","")&amp;IF(AND(ISNUMBER(BD255),BD255&lt;P_Mindestlohn,Q255&lt;&gt;"Auszubildende/r",Q255&lt;&gt;"Praktikant/in"),"Mindestlohn unterschritten?; ","")&amp;IF(AND(Q255="Minijob (geringfügig)",ISNUMBER(BB255),BB255&gt;P_Minijob),"Minijob-Grenze überschritten; ","")&amp;IF(AND(R255="Ja",S255=""),"Befristung ohne Enddatum; ","")&amp;IF(AND(ISNUMBER(O255),ISNUMBER(N255),O255&lt;N255),"Austritt vor Eintritt; ","")&amp;IF(AND(ISNUMBER(AU255),ISNUMBER(AV255),AU255&lt;AV255),"Urlaub unter gesetzl. Minimum; ","")&amp;IF(AND(ISNUMBER(AC255),ISNUMBER(AF255),ABS(N(AC255)-N(AF255))&gt;0.01),"Wochenstd. weichen vom Modell ab; ","")&amp;IF(AND(AI255="Ja",OR(AJ255="",AK255="")),"Kontogrenzen fehlen; ","")&amp;IF(AND(AL255="Mit Gehalt abgegolten (Pauschale)",AM255=""),"Überstunden-Pauschale fehlt; ","")))</f>
        <v/>
      </c>
      <c r="BH255" s="38"/>
    </row>
    <row r="256" customFormat="false" ht="15" hidden="false" customHeight="false" outlineLevel="0" collapsed="false">
      <c r="A256" s="37"/>
      <c r="B256" s="38"/>
      <c r="C256" s="38"/>
      <c r="D256" s="38"/>
      <c r="E256" s="38"/>
      <c r="F256" s="39"/>
      <c r="G256" s="38"/>
      <c r="H256" s="38"/>
      <c r="I256" s="37"/>
      <c r="J256" s="38"/>
      <c r="K256" s="38"/>
      <c r="L256" s="38"/>
      <c r="M256" s="38"/>
      <c r="N256" s="39"/>
      <c r="O256" s="39"/>
      <c r="P256" s="38"/>
      <c r="Q256" s="38"/>
      <c r="R256" s="38"/>
      <c r="S256" s="39"/>
      <c r="T256" s="39"/>
      <c r="U256" s="38"/>
      <c r="V256" s="38"/>
      <c r="W256" s="37"/>
      <c r="X256" s="38"/>
      <c r="Y256" s="38"/>
      <c r="Z256" s="37"/>
      <c r="AA256" s="38"/>
      <c r="AB256" s="38"/>
      <c r="AC256" s="40"/>
      <c r="AD256" s="41"/>
      <c r="AE256" s="42" t="str">
        <f aca="false">IF(OR(A256="",NOT(ISNUMBER(AC256)),NOT(ISNUMBER(AD256))),"",IF(AD256&gt;0,AC256/AD256,""))</f>
        <v/>
      </c>
      <c r="AF256" s="42" t="str">
        <f aca="false">IF(OR(A256="",AB256=""),"",IFERROR(INDEX(Arbeitszeitmodelle!$C$5:$C$34,MATCH(AB256,Arbeitszeitmodelle!$A$5:$A$34,0)),""))</f>
        <v/>
      </c>
      <c r="AG256" s="38"/>
      <c r="AH256" s="38"/>
      <c r="AI256" s="38"/>
      <c r="AJ256" s="41"/>
      <c r="AK256" s="41"/>
      <c r="AL256" s="38"/>
      <c r="AM256" s="41"/>
      <c r="AN256" s="38"/>
      <c r="AO256" s="38"/>
      <c r="AP256" s="38"/>
      <c r="AQ256" s="38"/>
      <c r="AR256" s="41"/>
      <c r="AS256" s="40"/>
      <c r="AT256" s="39"/>
      <c r="AU256" s="41"/>
      <c r="AV256" s="43" t="str">
        <f aca="false">IF(OR(A256="",NOT(ISNUMBER(AD256))),"",P_MinUrlaubWerktage/6*AD256)</f>
        <v/>
      </c>
      <c r="AW256" s="43" t="str">
        <f aca="false">IF(A256="","",IF(M256="Ja",P_ZusatzSB*IF(ISNUMBER(AD256),AD256,5)/5,0))</f>
        <v/>
      </c>
      <c r="AX256" s="41"/>
      <c r="AY256" s="39"/>
      <c r="AZ256" s="43" t="str">
        <f aca="false">IF(OR(A256="",NOT(ISNUMBER(AU256))),"",SUM(AU256,AW256,AX256))</f>
        <v/>
      </c>
      <c r="BA256" s="38"/>
      <c r="BB256" s="44"/>
      <c r="BC256" s="44"/>
      <c r="BD256" s="45" t="str">
        <f aca="false">IF(A256="","",IF(BA256="Stundenlohn",IF(ISNUMBER(BC256),BC256,""),IF(AND(ISNUMBER(BB256),ISNUMBER(AC256)),IF(AC256&gt;0,BB256*12/(AC256*52),""),"")))</f>
        <v/>
      </c>
      <c r="BE256" s="46" t="str">
        <f aca="false">IF(OR(A256="",NOT(ISNUMBER(F256))),"",IFERROR(DATEDIF(F256,P_Stichtag,"Y"),""))</f>
        <v/>
      </c>
      <c r="BF256" s="47" t="str">
        <f aca="false">IF(OR(A256="",NOT(ISNUMBER(BE256))),"",IF(BE256&lt;18,"Ja","Nein"))</f>
        <v/>
      </c>
      <c r="BG256" s="48" t="str">
        <f aca="false">IF(A256="","",IF((IF(OR(B256="",C256="",F256="",N256="",Q256="",AB256="",AC256="",AD256="",AU256=""),"Pflichtfelder fehlen; ","")&amp;IF(AND(ISNUMBER(AC256),AC256&gt;P_MaxWoche),"Wochenstunden &gt; Prüfgrenze; ","")&amp;IF(AND(BF256="Ja",ISNUMBER(AC256),AC256&gt;P_MaxWocheJugend),"Jugendlicher &gt; 40 h/Woche; ","")&amp;IF(AND(ISNUMBER(BD256),BD256&lt;P_Mindestlohn,Q256&lt;&gt;"Auszubildende/r",Q256&lt;&gt;"Praktikant/in"),"Mindestlohn unterschritten?; ","")&amp;IF(AND(Q256="Minijob (geringfügig)",ISNUMBER(BB256),BB256&gt;P_Minijob),"Minijob-Grenze überschritten; ","")&amp;IF(AND(R256="Ja",S256=""),"Befristung ohne Enddatum; ","")&amp;IF(AND(ISNUMBER(O256),ISNUMBER(N256),O256&lt;N256),"Austritt vor Eintritt; ","")&amp;IF(AND(ISNUMBER(AU256),ISNUMBER(AV256),AU256&lt;AV256),"Urlaub unter gesetzl. Minimum; ","")&amp;IF(AND(ISNUMBER(AC256),ISNUMBER(AF256),ABS(N(AC256)-N(AF256))&gt;0.01),"Wochenstd. weichen vom Modell ab; ","")&amp;IF(AND(AI256="Ja",OR(AJ256="",AK256="")),"Kontogrenzen fehlen; ","")&amp;IF(AND(AL256="Mit Gehalt abgegolten (Pauschale)",AM256=""),"Überstunden-Pauschale fehlt; ",""))="","OK",IF(OR(B256="",C256="",F256="",N256="",Q256="",AB256="",AC256="",AD256="",AU256=""),"Pflichtfelder fehlen; ","")&amp;IF(AND(ISNUMBER(AC256),AC256&gt;P_MaxWoche),"Wochenstunden &gt; Prüfgrenze; ","")&amp;IF(AND(BF256="Ja",ISNUMBER(AC256),AC256&gt;P_MaxWocheJugend),"Jugendlicher &gt; 40 h/Woche; ","")&amp;IF(AND(ISNUMBER(BD256),BD256&lt;P_Mindestlohn,Q256&lt;&gt;"Auszubildende/r",Q256&lt;&gt;"Praktikant/in"),"Mindestlohn unterschritten?; ","")&amp;IF(AND(Q256="Minijob (geringfügig)",ISNUMBER(BB256),BB256&gt;P_Minijob),"Minijob-Grenze überschritten; ","")&amp;IF(AND(R256="Ja",S256=""),"Befristung ohne Enddatum; ","")&amp;IF(AND(ISNUMBER(O256),ISNUMBER(N256),O256&lt;N256),"Austritt vor Eintritt; ","")&amp;IF(AND(ISNUMBER(AU256),ISNUMBER(AV256),AU256&lt;AV256),"Urlaub unter gesetzl. Minimum; ","")&amp;IF(AND(ISNUMBER(AC256),ISNUMBER(AF256),ABS(N(AC256)-N(AF256))&gt;0.01),"Wochenstd. weichen vom Modell ab; ","")&amp;IF(AND(AI256="Ja",OR(AJ256="",AK256="")),"Kontogrenzen fehlen; ","")&amp;IF(AND(AL256="Mit Gehalt abgegolten (Pauschale)",AM256=""),"Überstunden-Pauschale fehlt; ","")))</f>
        <v/>
      </c>
      <c r="BH256" s="38"/>
    </row>
    <row r="257" customFormat="false" ht="15" hidden="false" customHeight="false" outlineLevel="0" collapsed="false">
      <c r="A257" s="37"/>
      <c r="B257" s="38"/>
      <c r="C257" s="38"/>
      <c r="D257" s="38"/>
      <c r="E257" s="38"/>
      <c r="F257" s="39"/>
      <c r="G257" s="38"/>
      <c r="H257" s="38"/>
      <c r="I257" s="37"/>
      <c r="J257" s="38"/>
      <c r="K257" s="38"/>
      <c r="L257" s="38"/>
      <c r="M257" s="38"/>
      <c r="N257" s="39"/>
      <c r="O257" s="39"/>
      <c r="P257" s="38"/>
      <c r="Q257" s="38"/>
      <c r="R257" s="38"/>
      <c r="S257" s="39"/>
      <c r="T257" s="39"/>
      <c r="U257" s="38"/>
      <c r="V257" s="38"/>
      <c r="W257" s="37"/>
      <c r="X257" s="38"/>
      <c r="Y257" s="38"/>
      <c r="Z257" s="37"/>
      <c r="AA257" s="38"/>
      <c r="AB257" s="38"/>
      <c r="AC257" s="40"/>
      <c r="AD257" s="41"/>
      <c r="AE257" s="42" t="str">
        <f aca="false">IF(OR(A257="",NOT(ISNUMBER(AC257)),NOT(ISNUMBER(AD257))),"",IF(AD257&gt;0,AC257/AD257,""))</f>
        <v/>
      </c>
      <c r="AF257" s="42" t="str">
        <f aca="false">IF(OR(A257="",AB257=""),"",IFERROR(INDEX(Arbeitszeitmodelle!$C$5:$C$34,MATCH(AB257,Arbeitszeitmodelle!$A$5:$A$34,0)),""))</f>
        <v/>
      </c>
      <c r="AG257" s="38"/>
      <c r="AH257" s="38"/>
      <c r="AI257" s="38"/>
      <c r="AJ257" s="41"/>
      <c r="AK257" s="41"/>
      <c r="AL257" s="38"/>
      <c r="AM257" s="41"/>
      <c r="AN257" s="38"/>
      <c r="AO257" s="38"/>
      <c r="AP257" s="38"/>
      <c r="AQ257" s="38"/>
      <c r="AR257" s="41"/>
      <c r="AS257" s="40"/>
      <c r="AT257" s="39"/>
      <c r="AU257" s="41"/>
      <c r="AV257" s="43" t="str">
        <f aca="false">IF(OR(A257="",NOT(ISNUMBER(AD257))),"",P_MinUrlaubWerktage/6*AD257)</f>
        <v/>
      </c>
      <c r="AW257" s="43" t="str">
        <f aca="false">IF(A257="","",IF(M257="Ja",P_ZusatzSB*IF(ISNUMBER(AD257),AD257,5)/5,0))</f>
        <v/>
      </c>
      <c r="AX257" s="41"/>
      <c r="AY257" s="39"/>
      <c r="AZ257" s="43" t="str">
        <f aca="false">IF(OR(A257="",NOT(ISNUMBER(AU257))),"",SUM(AU257,AW257,AX257))</f>
        <v/>
      </c>
      <c r="BA257" s="38"/>
      <c r="BB257" s="44"/>
      <c r="BC257" s="44"/>
      <c r="BD257" s="45" t="str">
        <f aca="false">IF(A257="","",IF(BA257="Stundenlohn",IF(ISNUMBER(BC257),BC257,""),IF(AND(ISNUMBER(BB257),ISNUMBER(AC257)),IF(AC257&gt;0,BB257*12/(AC257*52),""),"")))</f>
        <v/>
      </c>
      <c r="BE257" s="46" t="str">
        <f aca="false">IF(OR(A257="",NOT(ISNUMBER(F257))),"",IFERROR(DATEDIF(F257,P_Stichtag,"Y"),""))</f>
        <v/>
      </c>
      <c r="BF257" s="47" t="str">
        <f aca="false">IF(OR(A257="",NOT(ISNUMBER(BE257))),"",IF(BE257&lt;18,"Ja","Nein"))</f>
        <v/>
      </c>
      <c r="BG257" s="48" t="str">
        <f aca="false">IF(A257="","",IF((IF(OR(B257="",C257="",F257="",N257="",Q257="",AB257="",AC257="",AD257="",AU257=""),"Pflichtfelder fehlen; ","")&amp;IF(AND(ISNUMBER(AC257),AC257&gt;P_MaxWoche),"Wochenstunden &gt; Prüfgrenze; ","")&amp;IF(AND(BF257="Ja",ISNUMBER(AC257),AC257&gt;P_MaxWocheJugend),"Jugendlicher &gt; 40 h/Woche; ","")&amp;IF(AND(ISNUMBER(BD257),BD257&lt;P_Mindestlohn,Q257&lt;&gt;"Auszubildende/r",Q257&lt;&gt;"Praktikant/in"),"Mindestlohn unterschritten?; ","")&amp;IF(AND(Q257="Minijob (geringfügig)",ISNUMBER(BB257),BB257&gt;P_Minijob),"Minijob-Grenze überschritten; ","")&amp;IF(AND(R257="Ja",S257=""),"Befristung ohne Enddatum; ","")&amp;IF(AND(ISNUMBER(O257),ISNUMBER(N257),O257&lt;N257),"Austritt vor Eintritt; ","")&amp;IF(AND(ISNUMBER(AU257),ISNUMBER(AV257),AU257&lt;AV257),"Urlaub unter gesetzl. Minimum; ","")&amp;IF(AND(ISNUMBER(AC257),ISNUMBER(AF257),ABS(N(AC257)-N(AF257))&gt;0.01),"Wochenstd. weichen vom Modell ab; ","")&amp;IF(AND(AI257="Ja",OR(AJ257="",AK257="")),"Kontogrenzen fehlen; ","")&amp;IF(AND(AL257="Mit Gehalt abgegolten (Pauschale)",AM257=""),"Überstunden-Pauschale fehlt; ",""))="","OK",IF(OR(B257="",C257="",F257="",N257="",Q257="",AB257="",AC257="",AD257="",AU257=""),"Pflichtfelder fehlen; ","")&amp;IF(AND(ISNUMBER(AC257),AC257&gt;P_MaxWoche),"Wochenstunden &gt; Prüfgrenze; ","")&amp;IF(AND(BF257="Ja",ISNUMBER(AC257),AC257&gt;P_MaxWocheJugend),"Jugendlicher &gt; 40 h/Woche; ","")&amp;IF(AND(ISNUMBER(BD257),BD257&lt;P_Mindestlohn,Q257&lt;&gt;"Auszubildende/r",Q257&lt;&gt;"Praktikant/in"),"Mindestlohn unterschritten?; ","")&amp;IF(AND(Q257="Minijob (geringfügig)",ISNUMBER(BB257),BB257&gt;P_Minijob),"Minijob-Grenze überschritten; ","")&amp;IF(AND(R257="Ja",S257=""),"Befristung ohne Enddatum; ","")&amp;IF(AND(ISNUMBER(O257),ISNUMBER(N257),O257&lt;N257),"Austritt vor Eintritt; ","")&amp;IF(AND(ISNUMBER(AU257),ISNUMBER(AV257),AU257&lt;AV257),"Urlaub unter gesetzl. Minimum; ","")&amp;IF(AND(ISNUMBER(AC257),ISNUMBER(AF257),ABS(N(AC257)-N(AF257))&gt;0.01),"Wochenstd. weichen vom Modell ab; ","")&amp;IF(AND(AI257="Ja",OR(AJ257="",AK257="")),"Kontogrenzen fehlen; ","")&amp;IF(AND(AL257="Mit Gehalt abgegolten (Pauschale)",AM257=""),"Überstunden-Pauschale fehlt; ","")))</f>
        <v/>
      </c>
      <c r="BH257" s="38"/>
    </row>
    <row r="258" customFormat="false" ht="15" hidden="false" customHeight="false" outlineLevel="0" collapsed="false">
      <c r="A258" s="37"/>
      <c r="B258" s="38"/>
      <c r="C258" s="38"/>
      <c r="D258" s="38"/>
      <c r="E258" s="38"/>
      <c r="F258" s="39"/>
      <c r="G258" s="38"/>
      <c r="H258" s="38"/>
      <c r="I258" s="37"/>
      <c r="J258" s="38"/>
      <c r="K258" s="38"/>
      <c r="L258" s="38"/>
      <c r="M258" s="38"/>
      <c r="N258" s="39"/>
      <c r="O258" s="39"/>
      <c r="P258" s="38"/>
      <c r="Q258" s="38"/>
      <c r="R258" s="38"/>
      <c r="S258" s="39"/>
      <c r="T258" s="39"/>
      <c r="U258" s="38"/>
      <c r="V258" s="38"/>
      <c r="W258" s="37"/>
      <c r="X258" s="38"/>
      <c r="Y258" s="38"/>
      <c r="Z258" s="37"/>
      <c r="AA258" s="38"/>
      <c r="AB258" s="38"/>
      <c r="AC258" s="40"/>
      <c r="AD258" s="41"/>
      <c r="AE258" s="42" t="str">
        <f aca="false">IF(OR(A258="",NOT(ISNUMBER(AC258)),NOT(ISNUMBER(AD258))),"",IF(AD258&gt;0,AC258/AD258,""))</f>
        <v/>
      </c>
      <c r="AF258" s="42" t="str">
        <f aca="false">IF(OR(A258="",AB258=""),"",IFERROR(INDEX(Arbeitszeitmodelle!$C$5:$C$34,MATCH(AB258,Arbeitszeitmodelle!$A$5:$A$34,0)),""))</f>
        <v/>
      </c>
      <c r="AG258" s="38"/>
      <c r="AH258" s="38"/>
      <c r="AI258" s="38"/>
      <c r="AJ258" s="41"/>
      <c r="AK258" s="41"/>
      <c r="AL258" s="38"/>
      <c r="AM258" s="41"/>
      <c r="AN258" s="38"/>
      <c r="AO258" s="38"/>
      <c r="AP258" s="38"/>
      <c r="AQ258" s="38"/>
      <c r="AR258" s="41"/>
      <c r="AS258" s="40"/>
      <c r="AT258" s="39"/>
      <c r="AU258" s="41"/>
      <c r="AV258" s="43" t="str">
        <f aca="false">IF(OR(A258="",NOT(ISNUMBER(AD258))),"",P_MinUrlaubWerktage/6*AD258)</f>
        <v/>
      </c>
      <c r="AW258" s="43" t="str">
        <f aca="false">IF(A258="","",IF(M258="Ja",P_ZusatzSB*IF(ISNUMBER(AD258),AD258,5)/5,0))</f>
        <v/>
      </c>
      <c r="AX258" s="41"/>
      <c r="AY258" s="39"/>
      <c r="AZ258" s="43" t="str">
        <f aca="false">IF(OR(A258="",NOT(ISNUMBER(AU258))),"",SUM(AU258,AW258,AX258))</f>
        <v/>
      </c>
      <c r="BA258" s="38"/>
      <c r="BB258" s="44"/>
      <c r="BC258" s="44"/>
      <c r="BD258" s="45" t="str">
        <f aca="false">IF(A258="","",IF(BA258="Stundenlohn",IF(ISNUMBER(BC258),BC258,""),IF(AND(ISNUMBER(BB258),ISNUMBER(AC258)),IF(AC258&gt;0,BB258*12/(AC258*52),""),"")))</f>
        <v/>
      </c>
      <c r="BE258" s="46" t="str">
        <f aca="false">IF(OR(A258="",NOT(ISNUMBER(F258))),"",IFERROR(DATEDIF(F258,P_Stichtag,"Y"),""))</f>
        <v/>
      </c>
      <c r="BF258" s="47" t="str">
        <f aca="false">IF(OR(A258="",NOT(ISNUMBER(BE258))),"",IF(BE258&lt;18,"Ja","Nein"))</f>
        <v/>
      </c>
      <c r="BG258" s="48" t="str">
        <f aca="false">IF(A258="","",IF((IF(OR(B258="",C258="",F258="",N258="",Q258="",AB258="",AC258="",AD258="",AU258=""),"Pflichtfelder fehlen; ","")&amp;IF(AND(ISNUMBER(AC258),AC258&gt;P_MaxWoche),"Wochenstunden &gt; Prüfgrenze; ","")&amp;IF(AND(BF258="Ja",ISNUMBER(AC258),AC258&gt;P_MaxWocheJugend),"Jugendlicher &gt; 40 h/Woche; ","")&amp;IF(AND(ISNUMBER(BD258),BD258&lt;P_Mindestlohn,Q258&lt;&gt;"Auszubildende/r",Q258&lt;&gt;"Praktikant/in"),"Mindestlohn unterschritten?; ","")&amp;IF(AND(Q258="Minijob (geringfügig)",ISNUMBER(BB258),BB258&gt;P_Minijob),"Minijob-Grenze überschritten; ","")&amp;IF(AND(R258="Ja",S258=""),"Befristung ohne Enddatum; ","")&amp;IF(AND(ISNUMBER(O258),ISNUMBER(N258),O258&lt;N258),"Austritt vor Eintritt; ","")&amp;IF(AND(ISNUMBER(AU258),ISNUMBER(AV258),AU258&lt;AV258),"Urlaub unter gesetzl. Minimum; ","")&amp;IF(AND(ISNUMBER(AC258),ISNUMBER(AF258),ABS(N(AC258)-N(AF258))&gt;0.01),"Wochenstd. weichen vom Modell ab; ","")&amp;IF(AND(AI258="Ja",OR(AJ258="",AK258="")),"Kontogrenzen fehlen; ","")&amp;IF(AND(AL258="Mit Gehalt abgegolten (Pauschale)",AM258=""),"Überstunden-Pauschale fehlt; ",""))="","OK",IF(OR(B258="",C258="",F258="",N258="",Q258="",AB258="",AC258="",AD258="",AU258=""),"Pflichtfelder fehlen; ","")&amp;IF(AND(ISNUMBER(AC258),AC258&gt;P_MaxWoche),"Wochenstunden &gt; Prüfgrenze; ","")&amp;IF(AND(BF258="Ja",ISNUMBER(AC258),AC258&gt;P_MaxWocheJugend),"Jugendlicher &gt; 40 h/Woche; ","")&amp;IF(AND(ISNUMBER(BD258),BD258&lt;P_Mindestlohn,Q258&lt;&gt;"Auszubildende/r",Q258&lt;&gt;"Praktikant/in"),"Mindestlohn unterschritten?; ","")&amp;IF(AND(Q258="Minijob (geringfügig)",ISNUMBER(BB258),BB258&gt;P_Minijob),"Minijob-Grenze überschritten; ","")&amp;IF(AND(R258="Ja",S258=""),"Befristung ohne Enddatum; ","")&amp;IF(AND(ISNUMBER(O258),ISNUMBER(N258),O258&lt;N258),"Austritt vor Eintritt; ","")&amp;IF(AND(ISNUMBER(AU258),ISNUMBER(AV258),AU258&lt;AV258),"Urlaub unter gesetzl. Minimum; ","")&amp;IF(AND(ISNUMBER(AC258),ISNUMBER(AF258),ABS(N(AC258)-N(AF258))&gt;0.01),"Wochenstd. weichen vom Modell ab; ","")&amp;IF(AND(AI258="Ja",OR(AJ258="",AK258="")),"Kontogrenzen fehlen; ","")&amp;IF(AND(AL258="Mit Gehalt abgegolten (Pauschale)",AM258=""),"Überstunden-Pauschale fehlt; ","")))</f>
        <v/>
      </c>
      <c r="BH258" s="38"/>
    </row>
    <row r="259" customFormat="false" ht="15" hidden="false" customHeight="false" outlineLevel="0" collapsed="false">
      <c r="A259" s="37"/>
      <c r="B259" s="38"/>
      <c r="C259" s="38"/>
      <c r="D259" s="38"/>
      <c r="E259" s="38"/>
      <c r="F259" s="39"/>
      <c r="G259" s="38"/>
      <c r="H259" s="38"/>
      <c r="I259" s="37"/>
      <c r="J259" s="38"/>
      <c r="K259" s="38"/>
      <c r="L259" s="38"/>
      <c r="M259" s="38"/>
      <c r="N259" s="39"/>
      <c r="O259" s="39"/>
      <c r="P259" s="38"/>
      <c r="Q259" s="38"/>
      <c r="R259" s="38"/>
      <c r="S259" s="39"/>
      <c r="T259" s="39"/>
      <c r="U259" s="38"/>
      <c r="V259" s="38"/>
      <c r="W259" s="37"/>
      <c r="X259" s="38"/>
      <c r="Y259" s="38"/>
      <c r="Z259" s="37"/>
      <c r="AA259" s="38"/>
      <c r="AB259" s="38"/>
      <c r="AC259" s="40"/>
      <c r="AD259" s="41"/>
      <c r="AE259" s="42" t="str">
        <f aca="false">IF(OR(A259="",NOT(ISNUMBER(AC259)),NOT(ISNUMBER(AD259))),"",IF(AD259&gt;0,AC259/AD259,""))</f>
        <v/>
      </c>
      <c r="AF259" s="42" t="str">
        <f aca="false">IF(OR(A259="",AB259=""),"",IFERROR(INDEX(Arbeitszeitmodelle!$C$5:$C$34,MATCH(AB259,Arbeitszeitmodelle!$A$5:$A$34,0)),""))</f>
        <v/>
      </c>
      <c r="AG259" s="38"/>
      <c r="AH259" s="38"/>
      <c r="AI259" s="38"/>
      <c r="AJ259" s="41"/>
      <c r="AK259" s="41"/>
      <c r="AL259" s="38"/>
      <c r="AM259" s="41"/>
      <c r="AN259" s="38"/>
      <c r="AO259" s="38"/>
      <c r="AP259" s="38"/>
      <c r="AQ259" s="38"/>
      <c r="AR259" s="41"/>
      <c r="AS259" s="40"/>
      <c r="AT259" s="39"/>
      <c r="AU259" s="41"/>
      <c r="AV259" s="43" t="str">
        <f aca="false">IF(OR(A259="",NOT(ISNUMBER(AD259))),"",P_MinUrlaubWerktage/6*AD259)</f>
        <v/>
      </c>
      <c r="AW259" s="43" t="str">
        <f aca="false">IF(A259="","",IF(M259="Ja",P_ZusatzSB*IF(ISNUMBER(AD259),AD259,5)/5,0))</f>
        <v/>
      </c>
      <c r="AX259" s="41"/>
      <c r="AY259" s="39"/>
      <c r="AZ259" s="43" t="str">
        <f aca="false">IF(OR(A259="",NOT(ISNUMBER(AU259))),"",SUM(AU259,AW259,AX259))</f>
        <v/>
      </c>
      <c r="BA259" s="38"/>
      <c r="BB259" s="44"/>
      <c r="BC259" s="44"/>
      <c r="BD259" s="45" t="str">
        <f aca="false">IF(A259="","",IF(BA259="Stundenlohn",IF(ISNUMBER(BC259),BC259,""),IF(AND(ISNUMBER(BB259),ISNUMBER(AC259)),IF(AC259&gt;0,BB259*12/(AC259*52),""),"")))</f>
        <v/>
      </c>
      <c r="BE259" s="46" t="str">
        <f aca="false">IF(OR(A259="",NOT(ISNUMBER(F259))),"",IFERROR(DATEDIF(F259,P_Stichtag,"Y"),""))</f>
        <v/>
      </c>
      <c r="BF259" s="47" t="str">
        <f aca="false">IF(OR(A259="",NOT(ISNUMBER(BE259))),"",IF(BE259&lt;18,"Ja","Nein"))</f>
        <v/>
      </c>
      <c r="BG259" s="48" t="str">
        <f aca="false">IF(A259="","",IF((IF(OR(B259="",C259="",F259="",N259="",Q259="",AB259="",AC259="",AD259="",AU259=""),"Pflichtfelder fehlen; ","")&amp;IF(AND(ISNUMBER(AC259),AC259&gt;P_MaxWoche),"Wochenstunden &gt; Prüfgrenze; ","")&amp;IF(AND(BF259="Ja",ISNUMBER(AC259),AC259&gt;P_MaxWocheJugend),"Jugendlicher &gt; 40 h/Woche; ","")&amp;IF(AND(ISNUMBER(BD259),BD259&lt;P_Mindestlohn,Q259&lt;&gt;"Auszubildende/r",Q259&lt;&gt;"Praktikant/in"),"Mindestlohn unterschritten?; ","")&amp;IF(AND(Q259="Minijob (geringfügig)",ISNUMBER(BB259),BB259&gt;P_Minijob),"Minijob-Grenze überschritten; ","")&amp;IF(AND(R259="Ja",S259=""),"Befristung ohne Enddatum; ","")&amp;IF(AND(ISNUMBER(O259),ISNUMBER(N259),O259&lt;N259),"Austritt vor Eintritt; ","")&amp;IF(AND(ISNUMBER(AU259),ISNUMBER(AV259),AU259&lt;AV259),"Urlaub unter gesetzl. Minimum; ","")&amp;IF(AND(ISNUMBER(AC259),ISNUMBER(AF259),ABS(N(AC259)-N(AF259))&gt;0.01),"Wochenstd. weichen vom Modell ab; ","")&amp;IF(AND(AI259="Ja",OR(AJ259="",AK259="")),"Kontogrenzen fehlen; ","")&amp;IF(AND(AL259="Mit Gehalt abgegolten (Pauschale)",AM259=""),"Überstunden-Pauschale fehlt; ",""))="","OK",IF(OR(B259="",C259="",F259="",N259="",Q259="",AB259="",AC259="",AD259="",AU259=""),"Pflichtfelder fehlen; ","")&amp;IF(AND(ISNUMBER(AC259),AC259&gt;P_MaxWoche),"Wochenstunden &gt; Prüfgrenze; ","")&amp;IF(AND(BF259="Ja",ISNUMBER(AC259),AC259&gt;P_MaxWocheJugend),"Jugendlicher &gt; 40 h/Woche; ","")&amp;IF(AND(ISNUMBER(BD259),BD259&lt;P_Mindestlohn,Q259&lt;&gt;"Auszubildende/r",Q259&lt;&gt;"Praktikant/in"),"Mindestlohn unterschritten?; ","")&amp;IF(AND(Q259="Minijob (geringfügig)",ISNUMBER(BB259),BB259&gt;P_Minijob),"Minijob-Grenze überschritten; ","")&amp;IF(AND(R259="Ja",S259=""),"Befristung ohne Enddatum; ","")&amp;IF(AND(ISNUMBER(O259),ISNUMBER(N259),O259&lt;N259),"Austritt vor Eintritt; ","")&amp;IF(AND(ISNUMBER(AU259),ISNUMBER(AV259),AU259&lt;AV259),"Urlaub unter gesetzl. Minimum; ","")&amp;IF(AND(ISNUMBER(AC259),ISNUMBER(AF259),ABS(N(AC259)-N(AF259))&gt;0.01),"Wochenstd. weichen vom Modell ab; ","")&amp;IF(AND(AI259="Ja",OR(AJ259="",AK259="")),"Kontogrenzen fehlen; ","")&amp;IF(AND(AL259="Mit Gehalt abgegolten (Pauschale)",AM259=""),"Überstunden-Pauschale fehlt; ","")))</f>
        <v/>
      </c>
      <c r="BH259" s="38"/>
    </row>
    <row r="260" customFormat="false" ht="15" hidden="false" customHeight="false" outlineLevel="0" collapsed="false">
      <c r="A260" s="37"/>
      <c r="B260" s="38"/>
      <c r="C260" s="38"/>
      <c r="D260" s="38"/>
      <c r="E260" s="38"/>
      <c r="F260" s="39"/>
      <c r="G260" s="38"/>
      <c r="H260" s="38"/>
      <c r="I260" s="37"/>
      <c r="J260" s="38"/>
      <c r="K260" s="38"/>
      <c r="L260" s="38"/>
      <c r="M260" s="38"/>
      <c r="N260" s="39"/>
      <c r="O260" s="39"/>
      <c r="P260" s="38"/>
      <c r="Q260" s="38"/>
      <c r="R260" s="38"/>
      <c r="S260" s="39"/>
      <c r="T260" s="39"/>
      <c r="U260" s="38"/>
      <c r="V260" s="38"/>
      <c r="W260" s="37"/>
      <c r="X260" s="38"/>
      <c r="Y260" s="38"/>
      <c r="Z260" s="37"/>
      <c r="AA260" s="38"/>
      <c r="AB260" s="38"/>
      <c r="AC260" s="40"/>
      <c r="AD260" s="41"/>
      <c r="AE260" s="42" t="str">
        <f aca="false">IF(OR(A260="",NOT(ISNUMBER(AC260)),NOT(ISNUMBER(AD260))),"",IF(AD260&gt;0,AC260/AD260,""))</f>
        <v/>
      </c>
      <c r="AF260" s="42" t="str">
        <f aca="false">IF(OR(A260="",AB260=""),"",IFERROR(INDEX(Arbeitszeitmodelle!$C$5:$C$34,MATCH(AB260,Arbeitszeitmodelle!$A$5:$A$34,0)),""))</f>
        <v/>
      </c>
      <c r="AG260" s="38"/>
      <c r="AH260" s="38"/>
      <c r="AI260" s="38"/>
      <c r="AJ260" s="41"/>
      <c r="AK260" s="41"/>
      <c r="AL260" s="38"/>
      <c r="AM260" s="41"/>
      <c r="AN260" s="38"/>
      <c r="AO260" s="38"/>
      <c r="AP260" s="38"/>
      <c r="AQ260" s="38"/>
      <c r="AR260" s="41"/>
      <c r="AS260" s="40"/>
      <c r="AT260" s="39"/>
      <c r="AU260" s="41"/>
      <c r="AV260" s="43" t="str">
        <f aca="false">IF(OR(A260="",NOT(ISNUMBER(AD260))),"",P_MinUrlaubWerktage/6*AD260)</f>
        <v/>
      </c>
      <c r="AW260" s="43" t="str">
        <f aca="false">IF(A260="","",IF(M260="Ja",P_ZusatzSB*IF(ISNUMBER(AD260),AD260,5)/5,0))</f>
        <v/>
      </c>
      <c r="AX260" s="41"/>
      <c r="AY260" s="39"/>
      <c r="AZ260" s="43" t="str">
        <f aca="false">IF(OR(A260="",NOT(ISNUMBER(AU260))),"",SUM(AU260,AW260,AX260))</f>
        <v/>
      </c>
      <c r="BA260" s="38"/>
      <c r="BB260" s="44"/>
      <c r="BC260" s="44"/>
      <c r="BD260" s="45" t="str">
        <f aca="false">IF(A260="","",IF(BA260="Stundenlohn",IF(ISNUMBER(BC260),BC260,""),IF(AND(ISNUMBER(BB260),ISNUMBER(AC260)),IF(AC260&gt;0,BB260*12/(AC260*52),""),"")))</f>
        <v/>
      </c>
      <c r="BE260" s="46" t="str">
        <f aca="false">IF(OR(A260="",NOT(ISNUMBER(F260))),"",IFERROR(DATEDIF(F260,P_Stichtag,"Y"),""))</f>
        <v/>
      </c>
      <c r="BF260" s="47" t="str">
        <f aca="false">IF(OR(A260="",NOT(ISNUMBER(BE260))),"",IF(BE260&lt;18,"Ja","Nein"))</f>
        <v/>
      </c>
      <c r="BG260" s="48" t="str">
        <f aca="false">IF(A260="","",IF((IF(OR(B260="",C260="",F260="",N260="",Q260="",AB260="",AC260="",AD260="",AU260=""),"Pflichtfelder fehlen; ","")&amp;IF(AND(ISNUMBER(AC260),AC260&gt;P_MaxWoche),"Wochenstunden &gt; Prüfgrenze; ","")&amp;IF(AND(BF260="Ja",ISNUMBER(AC260),AC260&gt;P_MaxWocheJugend),"Jugendlicher &gt; 40 h/Woche; ","")&amp;IF(AND(ISNUMBER(BD260),BD260&lt;P_Mindestlohn,Q260&lt;&gt;"Auszubildende/r",Q260&lt;&gt;"Praktikant/in"),"Mindestlohn unterschritten?; ","")&amp;IF(AND(Q260="Minijob (geringfügig)",ISNUMBER(BB260),BB260&gt;P_Minijob),"Minijob-Grenze überschritten; ","")&amp;IF(AND(R260="Ja",S260=""),"Befristung ohne Enddatum; ","")&amp;IF(AND(ISNUMBER(O260),ISNUMBER(N260),O260&lt;N260),"Austritt vor Eintritt; ","")&amp;IF(AND(ISNUMBER(AU260),ISNUMBER(AV260),AU260&lt;AV260),"Urlaub unter gesetzl. Minimum; ","")&amp;IF(AND(ISNUMBER(AC260),ISNUMBER(AF260),ABS(N(AC260)-N(AF260))&gt;0.01),"Wochenstd. weichen vom Modell ab; ","")&amp;IF(AND(AI260="Ja",OR(AJ260="",AK260="")),"Kontogrenzen fehlen; ","")&amp;IF(AND(AL260="Mit Gehalt abgegolten (Pauschale)",AM260=""),"Überstunden-Pauschale fehlt; ",""))="","OK",IF(OR(B260="",C260="",F260="",N260="",Q260="",AB260="",AC260="",AD260="",AU260=""),"Pflichtfelder fehlen; ","")&amp;IF(AND(ISNUMBER(AC260),AC260&gt;P_MaxWoche),"Wochenstunden &gt; Prüfgrenze; ","")&amp;IF(AND(BF260="Ja",ISNUMBER(AC260),AC260&gt;P_MaxWocheJugend),"Jugendlicher &gt; 40 h/Woche; ","")&amp;IF(AND(ISNUMBER(BD260),BD260&lt;P_Mindestlohn,Q260&lt;&gt;"Auszubildende/r",Q260&lt;&gt;"Praktikant/in"),"Mindestlohn unterschritten?; ","")&amp;IF(AND(Q260="Minijob (geringfügig)",ISNUMBER(BB260),BB260&gt;P_Minijob),"Minijob-Grenze überschritten; ","")&amp;IF(AND(R260="Ja",S260=""),"Befristung ohne Enddatum; ","")&amp;IF(AND(ISNUMBER(O260),ISNUMBER(N260),O260&lt;N260),"Austritt vor Eintritt; ","")&amp;IF(AND(ISNUMBER(AU260),ISNUMBER(AV260),AU260&lt;AV260),"Urlaub unter gesetzl. Minimum; ","")&amp;IF(AND(ISNUMBER(AC260),ISNUMBER(AF260),ABS(N(AC260)-N(AF260))&gt;0.01),"Wochenstd. weichen vom Modell ab; ","")&amp;IF(AND(AI260="Ja",OR(AJ260="",AK260="")),"Kontogrenzen fehlen; ","")&amp;IF(AND(AL260="Mit Gehalt abgegolten (Pauschale)",AM260=""),"Überstunden-Pauschale fehlt; ","")))</f>
        <v/>
      </c>
      <c r="BH260" s="38"/>
    </row>
    <row r="261" customFormat="false" ht="15" hidden="false" customHeight="false" outlineLevel="0" collapsed="false">
      <c r="A261" s="37"/>
      <c r="B261" s="38"/>
      <c r="C261" s="38"/>
      <c r="D261" s="38"/>
      <c r="E261" s="38"/>
      <c r="F261" s="39"/>
      <c r="G261" s="38"/>
      <c r="H261" s="38"/>
      <c r="I261" s="37"/>
      <c r="J261" s="38"/>
      <c r="K261" s="38"/>
      <c r="L261" s="38"/>
      <c r="M261" s="38"/>
      <c r="N261" s="39"/>
      <c r="O261" s="39"/>
      <c r="P261" s="38"/>
      <c r="Q261" s="38"/>
      <c r="R261" s="38"/>
      <c r="S261" s="39"/>
      <c r="T261" s="39"/>
      <c r="U261" s="38"/>
      <c r="V261" s="38"/>
      <c r="W261" s="37"/>
      <c r="X261" s="38"/>
      <c r="Y261" s="38"/>
      <c r="Z261" s="37"/>
      <c r="AA261" s="38"/>
      <c r="AB261" s="38"/>
      <c r="AC261" s="40"/>
      <c r="AD261" s="41"/>
      <c r="AE261" s="42" t="str">
        <f aca="false">IF(OR(A261="",NOT(ISNUMBER(AC261)),NOT(ISNUMBER(AD261))),"",IF(AD261&gt;0,AC261/AD261,""))</f>
        <v/>
      </c>
      <c r="AF261" s="42" t="str">
        <f aca="false">IF(OR(A261="",AB261=""),"",IFERROR(INDEX(Arbeitszeitmodelle!$C$5:$C$34,MATCH(AB261,Arbeitszeitmodelle!$A$5:$A$34,0)),""))</f>
        <v/>
      </c>
      <c r="AG261" s="38"/>
      <c r="AH261" s="38"/>
      <c r="AI261" s="38"/>
      <c r="AJ261" s="41"/>
      <c r="AK261" s="41"/>
      <c r="AL261" s="38"/>
      <c r="AM261" s="41"/>
      <c r="AN261" s="38"/>
      <c r="AO261" s="38"/>
      <c r="AP261" s="38"/>
      <c r="AQ261" s="38"/>
      <c r="AR261" s="41"/>
      <c r="AS261" s="40"/>
      <c r="AT261" s="39"/>
      <c r="AU261" s="41"/>
      <c r="AV261" s="43" t="str">
        <f aca="false">IF(OR(A261="",NOT(ISNUMBER(AD261))),"",P_MinUrlaubWerktage/6*AD261)</f>
        <v/>
      </c>
      <c r="AW261" s="43" t="str">
        <f aca="false">IF(A261="","",IF(M261="Ja",P_ZusatzSB*IF(ISNUMBER(AD261),AD261,5)/5,0))</f>
        <v/>
      </c>
      <c r="AX261" s="41"/>
      <c r="AY261" s="39"/>
      <c r="AZ261" s="43" t="str">
        <f aca="false">IF(OR(A261="",NOT(ISNUMBER(AU261))),"",SUM(AU261,AW261,AX261))</f>
        <v/>
      </c>
      <c r="BA261" s="38"/>
      <c r="BB261" s="44"/>
      <c r="BC261" s="44"/>
      <c r="BD261" s="45" t="str">
        <f aca="false">IF(A261="","",IF(BA261="Stundenlohn",IF(ISNUMBER(BC261),BC261,""),IF(AND(ISNUMBER(BB261),ISNUMBER(AC261)),IF(AC261&gt;0,BB261*12/(AC261*52),""),"")))</f>
        <v/>
      </c>
      <c r="BE261" s="46" t="str">
        <f aca="false">IF(OR(A261="",NOT(ISNUMBER(F261))),"",IFERROR(DATEDIF(F261,P_Stichtag,"Y"),""))</f>
        <v/>
      </c>
      <c r="BF261" s="47" t="str">
        <f aca="false">IF(OR(A261="",NOT(ISNUMBER(BE261))),"",IF(BE261&lt;18,"Ja","Nein"))</f>
        <v/>
      </c>
      <c r="BG261" s="48" t="str">
        <f aca="false">IF(A261="","",IF((IF(OR(B261="",C261="",F261="",N261="",Q261="",AB261="",AC261="",AD261="",AU261=""),"Pflichtfelder fehlen; ","")&amp;IF(AND(ISNUMBER(AC261),AC261&gt;P_MaxWoche),"Wochenstunden &gt; Prüfgrenze; ","")&amp;IF(AND(BF261="Ja",ISNUMBER(AC261),AC261&gt;P_MaxWocheJugend),"Jugendlicher &gt; 40 h/Woche; ","")&amp;IF(AND(ISNUMBER(BD261),BD261&lt;P_Mindestlohn,Q261&lt;&gt;"Auszubildende/r",Q261&lt;&gt;"Praktikant/in"),"Mindestlohn unterschritten?; ","")&amp;IF(AND(Q261="Minijob (geringfügig)",ISNUMBER(BB261),BB261&gt;P_Minijob),"Minijob-Grenze überschritten; ","")&amp;IF(AND(R261="Ja",S261=""),"Befristung ohne Enddatum; ","")&amp;IF(AND(ISNUMBER(O261),ISNUMBER(N261),O261&lt;N261),"Austritt vor Eintritt; ","")&amp;IF(AND(ISNUMBER(AU261),ISNUMBER(AV261),AU261&lt;AV261),"Urlaub unter gesetzl. Minimum; ","")&amp;IF(AND(ISNUMBER(AC261),ISNUMBER(AF261),ABS(N(AC261)-N(AF261))&gt;0.01),"Wochenstd. weichen vom Modell ab; ","")&amp;IF(AND(AI261="Ja",OR(AJ261="",AK261="")),"Kontogrenzen fehlen; ","")&amp;IF(AND(AL261="Mit Gehalt abgegolten (Pauschale)",AM261=""),"Überstunden-Pauschale fehlt; ",""))="","OK",IF(OR(B261="",C261="",F261="",N261="",Q261="",AB261="",AC261="",AD261="",AU261=""),"Pflichtfelder fehlen; ","")&amp;IF(AND(ISNUMBER(AC261),AC261&gt;P_MaxWoche),"Wochenstunden &gt; Prüfgrenze; ","")&amp;IF(AND(BF261="Ja",ISNUMBER(AC261),AC261&gt;P_MaxWocheJugend),"Jugendlicher &gt; 40 h/Woche; ","")&amp;IF(AND(ISNUMBER(BD261),BD261&lt;P_Mindestlohn,Q261&lt;&gt;"Auszubildende/r",Q261&lt;&gt;"Praktikant/in"),"Mindestlohn unterschritten?; ","")&amp;IF(AND(Q261="Minijob (geringfügig)",ISNUMBER(BB261),BB261&gt;P_Minijob),"Minijob-Grenze überschritten; ","")&amp;IF(AND(R261="Ja",S261=""),"Befristung ohne Enddatum; ","")&amp;IF(AND(ISNUMBER(O261),ISNUMBER(N261),O261&lt;N261),"Austritt vor Eintritt; ","")&amp;IF(AND(ISNUMBER(AU261),ISNUMBER(AV261),AU261&lt;AV261),"Urlaub unter gesetzl. Minimum; ","")&amp;IF(AND(ISNUMBER(AC261),ISNUMBER(AF261),ABS(N(AC261)-N(AF261))&gt;0.01),"Wochenstd. weichen vom Modell ab; ","")&amp;IF(AND(AI261="Ja",OR(AJ261="",AK261="")),"Kontogrenzen fehlen; ","")&amp;IF(AND(AL261="Mit Gehalt abgegolten (Pauschale)",AM261=""),"Überstunden-Pauschale fehlt; ","")))</f>
        <v/>
      </c>
      <c r="BH261" s="38"/>
    </row>
    <row r="262" customFormat="false" ht="15" hidden="false" customHeight="false" outlineLevel="0" collapsed="false">
      <c r="A262" s="37"/>
      <c r="B262" s="38"/>
      <c r="C262" s="38"/>
      <c r="D262" s="38"/>
      <c r="E262" s="38"/>
      <c r="F262" s="39"/>
      <c r="G262" s="38"/>
      <c r="H262" s="38"/>
      <c r="I262" s="37"/>
      <c r="J262" s="38"/>
      <c r="K262" s="38"/>
      <c r="L262" s="38"/>
      <c r="M262" s="38"/>
      <c r="N262" s="39"/>
      <c r="O262" s="39"/>
      <c r="P262" s="38"/>
      <c r="Q262" s="38"/>
      <c r="R262" s="38"/>
      <c r="S262" s="39"/>
      <c r="T262" s="39"/>
      <c r="U262" s="38"/>
      <c r="V262" s="38"/>
      <c r="W262" s="37"/>
      <c r="X262" s="38"/>
      <c r="Y262" s="38"/>
      <c r="Z262" s="37"/>
      <c r="AA262" s="38"/>
      <c r="AB262" s="38"/>
      <c r="AC262" s="40"/>
      <c r="AD262" s="41"/>
      <c r="AE262" s="42" t="str">
        <f aca="false">IF(OR(A262="",NOT(ISNUMBER(AC262)),NOT(ISNUMBER(AD262))),"",IF(AD262&gt;0,AC262/AD262,""))</f>
        <v/>
      </c>
      <c r="AF262" s="42" t="str">
        <f aca="false">IF(OR(A262="",AB262=""),"",IFERROR(INDEX(Arbeitszeitmodelle!$C$5:$C$34,MATCH(AB262,Arbeitszeitmodelle!$A$5:$A$34,0)),""))</f>
        <v/>
      </c>
      <c r="AG262" s="38"/>
      <c r="AH262" s="38"/>
      <c r="AI262" s="38"/>
      <c r="AJ262" s="41"/>
      <c r="AK262" s="41"/>
      <c r="AL262" s="38"/>
      <c r="AM262" s="41"/>
      <c r="AN262" s="38"/>
      <c r="AO262" s="38"/>
      <c r="AP262" s="38"/>
      <c r="AQ262" s="38"/>
      <c r="AR262" s="41"/>
      <c r="AS262" s="40"/>
      <c r="AT262" s="39"/>
      <c r="AU262" s="41"/>
      <c r="AV262" s="43" t="str">
        <f aca="false">IF(OR(A262="",NOT(ISNUMBER(AD262))),"",P_MinUrlaubWerktage/6*AD262)</f>
        <v/>
      </c>
      <c r="AW262" s="43" t="str">
        <f aca="false">IF(A262="","",IF(M262="Ja",P_ZusatzSB*IF(ISNUMBER(AD262),AD262,5)/5,0))</f>
        <v/>
      </c>
      <c r="AX262" s="41"/>
      <c r="AY262" s="39"/>
      <c r="AZ262" s="43" t="str">
        <f aca="false">IF(OR(A262="",NOT(ISNUMBER(AU262))),"",SUM(AU262,AW262,AX262))</f>
        <v/>
      </c>
      <c r="BA262" s="38"/>
      <c r="BB262" s="44"/>
      <c r="BC262" s="44"/>
      <c r="BD262" s="45" t="str">
        <f aca="false">IF(A262="","",IF(BA262="Stundenlohn",IF(ISNUMBER(BC262),BC262,""),IF(AND(ISNUMBER(BB262),ISNUMBER(AC262)),IF(AC262&gt;0,BB262*12/(AC262*52),""),"")))</f>
        <v/>
      </c>
      <c r="BE262" s="46" t="str">
        <f aca="false">IF(OR(A262="",NOT(ISNUMBER(F262))),"",IFERROR(DATEDIF(F262,P_Stichtag,"Y"),""))</f>
        <v/>
      </c>
      <c r="BF262" s="47" t="str">
        <f aca="false">IF(OR(A262="",NOT(ISNUMBER(BE262))),"",IF(BE262&lt;18,"Ja","Nein"))</f>
        <v/>
      </c>
      <c r="BG262" s="48" t="str">
        <f aca="false">IF(A262="","",IF((IF(OR(B262="",C262="",F262="",N262="",Q262="",AB262="",AC262="",AD262="",AU262=""),"Pflichtfelder fehlen; ","")&amp;IF(AND(ISNUMBER(AC262),AC262&gt;P_MaxWoche),"Wochenstunden &gt; Prüfgrenze; ","")&amp;IF(AND(BF262="Ja",ISNUMBER(AC262),AC262&gt;P_MaxWocheJugend),"Jugendlicher &gt; 40 h/Woche; ","")&amp;IF(AND(ISNUMBER(BD262),BD262&lt;P_Mindestlohn,Q262&lt;&gt;"Auszubildende/r",Q262&lt;&gt;"Praktikant/in"),"Mindestlohn unterschritten?; ","")&amp;IF(AND(Q262="Minijob (geringfügig)",ISNUMBER(BB262),BB262&gt;P_Minijob),"Minijob-Grenze überschritten; ","")&amp;IF(AND(R262="Ja",S262=""),"Befristung ohne Enddatum; ","")&amp;IF(AND(ISNUMBER(O262),ISNUMBER(N262),O262&lt;N262),"Austritt vor Eintritt; ","")&amp;IF(AND(ISNUMBER(AU262),ISNUMBER(AV262),AU262&lt;AV262),"Urlaub unter gesetzl. Minimum; ","")&amp;IF(AND(ISNUMBER(AC262),ISNUMBER(AF262),ABS(N(AC262)-N(AF262))&gt;0.01),"Wochenstd. weichen vom Modell ab; ","")&amp;IF(AND(AI262="Ja",OR(AJ262="",AK262="")),"Kontogrenzen fehlen; ","")&amp;IF(AND(AL262="Mit Gehalt abgegolten (Pauschale)",AM262=""),"Überstunden-Pauschale fehlt; ",""))="","OK",IF(OR(B262="",C262="",F262="",N262="",Q262="",AB262="",AC262="",AD262="",AU262=""),"Pflichtfelder fehlen; ","")&amp;IF(AND(ISNUMBER(AC262),AC262&gt;P_MaxWoche),"Wochenstunden &gt; Prüfgrenze; ","")&amp;IF(AND(BF262="Ja",ISNUMBER(AC262),AC262&gt;P_MaxWocheJugend),"Jugendlicher &gt; 40 h/Woche; ","")&amp;IF(AND(ISNUMBER(BD262),BD262&lt;P_Mindestlohn,Q262&lt;&gt;"Auszubildende/r",Q262&lt;&gt;"Praktikant/in"),"Mindestlohn unterschritten?; ","")&amp;IF(AND(Q262="Minijob (geringfügig)",ISNUMBER(BB262),BB262&gt;P_Minijob),"Minijob-Grenze überschritten; ","")&amp;IF(AND(R262="Ja",S262=""),"Befristung ohne Enddatum; ","")&amp;IF(AND(ISNUMBER(O262),ISNUMBER(N262),O262&lt;N262),"Austritt vor Eintritt; ","")&amp;IF(AND(ISNUMBER(AU262),ISNUMBER(AV262),AU262&lt;AV262),"Urlaub unter gesetzl. Minimum; ","")&amp;IF(AND(ISNUMBER(AC262),ISNUMBER(AF262),ABS(N(AC262)-N(AF262))&gt;0.01),"Wochenstd. weichen vom Modell ab; ","")&amp;IF(AND(AI262="Ja",OR(AJ262="",AK262="")),"Kontogrenzen fehlen; ","")&amp;IF(AND(AL262="Mit Gehalt abgegolten (Pauschale)",AM262=""),"Überstunden-Pauschale fehlt; ","")))</f>
        <v/>
      </c>
      <c r="BH262" s="38"/>
    </row>
    <row r="263" customFormat="false" ht="15" hidden="false" customHeight="false" outlineLevel="0" collapsed="false">
      <c r="A263" s="37"/>
      <c r="B263" s="38"/>
      <c r="C263" s="38"/>
      <c r="D263" s="38"/>
      <c r="E263" s="38"/>
      <c r="F263" s="39"/>
      <c r="G263" s="38"/>
      <c r="H263" s="38"/>
      <c r="I263" s="37"/>
      <c r="J263" s="38"/>
      <c r="K263" s="38"/>
      <c r="L263" s="38"/>
      <c r="M263" s="38"/>
      <c r="N263" s="39"/>
      <c r="O263" s="39"/>
      <c r="P263" s="38"/>
      <c r="Q263" s="38"/>
      <c r="R263" s="38"/>
      <c r="S263" s="39"/>
      <c r="T263" s="39"/>
      <c r="U263" s="38"/>
      <c r="V263" s="38"/>
      <c r="W263" s="37"/>
      <c r="X263" s="38"/>
      <c r="Y263" s="38"/>
      <c r="Z263" s="37"/>
      <c r="AA263" s="38"/>
      <c r="AB263" s="38"/>
      <c r="AC263" s="40"/>
      <c r="AD263" s="41"/>
      <c r="AE263" s="42" t="str">
        <f aca="false">IF(OR(A263="",NOT(ISNUMBER(AC263)),NOT(ISNUMBER(AD263))),"",IF(AD263&gt;0,AC263/AD263,""))</f>
        <v/>
      </c>
      <c r="AF263" s="42" t="str">
        <f aca="false">IF(OR(A263="",AB263=""),"",IFERROR(INDEX(Arbeitszeitmodelle!$C$5:$C$34,MATCH(AB263,Arbeitszeitmodelle!$A$5:$A$34,0)),""))</f>
        <v/>
      </c>
      <c r="AG263" s="38"/>
      <c r="AH263" s="38"/>
      <c r="AI263" s="38"/>
      <c r="AJ263" s="41"/>
      <c r="AK263" s="41"/>
      <c r="AL263" s="38"/>
      <c r="AM263" s="41"/>
      <c r="AN263" s="38"/>
      <c r="AO263" s="38"/>
      <c r="AP263" s="38"/>
      <c r="AQ263" s="38"/>
      <c r="AR263" s="41"/>
      <c r="AS263" s="40"/>
      <c r="AT263" s="39"/>
      <c r="AU263" s="41"/>
      <c r="AV263" s="43" t="str">
        <f aca="false">IF(OR(A263="",NOT(ISNUMBER(AD263))),"",P_MinUrlaubWerktage/6*AD263)</f>
        <v/>
      </c>
      <c r="AW263" s="43" t="str">
        <f aca="false">IF(A263="","",IF(M263="Ja",P_ZusatzSB*IF(ISNUMBER(AD263),AD263,5)/5,0))</f>
        <v/>
      </c>
      <c r="AX263" s="41"/>
      <c r="AY263" s="39"/>
      <c r="AZ263" s="43" t="str">
        <f aca="false">IF(OR(A263="",NOT(ISNUMBER(AU263))),"",SUM(AU263,AW263,AX263))</f>
        <v/>
      </c>
      <c r="BA263" s="38"/>
      <c r="BB263" s="44"/>
      <c r="BC263" s="44"/>
      <c r="BD263" s="45" t="str">
        <f aca="false">IF(A263="","",IF(BA263="Stundenlohn",IF(ISNUMBER(BC263),BC263,""),IF(AND(ISNUMBER(BB263),ISNUMBER(AC263)),IF(AC263&gt;0,BB263*12/(AC263*52),""),"")))</f>
        <v/>
      </c>
      <c r="BE263" s="46" t="str">
        <f aca="false">IF(OR(A263="",NOT(ISNUMBER(F263))),"",IFERROR(DATEDIF(F263,P_Stichtag,"Y"),""))</f>
        <v/>
      </c>
      <c r="BF263" s="47" t="str">
        <f aca="false">IF(OR(A263="",NOT(ISNUMBER(BE263))),"",IF(BE263&lt;18,"Ja","Nein"))</f>
        <v/>
      </c>
      <c r="BG263" s="48" t="str">
        <f aca="false">IF(A263="","",IF((IF(OR(B263="",C263="",F263="",N263="",Q263="",AB263="",AC263="",AD263="",AU263=""),"Pflichtfelder fehlen; ","")&amp;IF(AND(ISNUMBER(AC263),AC263&gt;P_MaxWoche),"Wochenstunden &gt; Prüfgrenze; ","")&amp;IF(AND(BF263="Ja",ISNUMBER(AC263),AC263&gt;P_MaxWocheJugend),"Jugendlicher &gt; 40 h/Woche; ","")&amp;IF(AND(ISNUMBER(BD263),BD263&lt;P_Mindestlohn,Q263&lt;&gt;"Auszubildende/r",Q263&lt;&gt;"Praktikant/in"),"Mindestlohn unterschritten?; ","")&amp;IF(AND(Q263="Minijob (geringfügig)",ISNUMBER(BB263),BB263&gt;P_Minijob),"Minijob-Grenze überschritten; ","")&amp;IF(AND(R263="Ja",S263=""),"Befristung ohne Enddatum; ","")&amp;IF(AND(ISNUMBER(O263),ISNUMBER(N263),O263&lt;N263),"Austritt vor Eintritt; ","")&amp;IF(AND(ISNUMBER(AU263),ISNUMBER(AV263),AU263&lt;AV263),"Urlaub unter gesetzl. Minimum; ","")&amp;IF(AND(ISNUMBER(AC263),ISNUMBER(AF263),ABS(N(AC263)-N(AF263))&gt;0.01),"Wochenstd. weichen vom Modell ab; ","")&amp;IF(AND(AI263="Ja",OR(AJ263="",AK263="")),"Kontogrenzen fehlen; ","")&amp;IF(AND(AL263="Mit Gehalt abgegolten (Pauschale)",AM263=""),"Überstunden-Pauschale fehlt; ",""))="","OK",IF(OR(B263="",C263="",F263="",N263="",Q263="",AB263="",AC263="",AD263="",AU263=""),"Pflichtfelder fehlen; ","")&amp;IF(AND(ISNUMBER(AC263),AC263&gt;P_MaxWoche),"Wochenstunden &gt; Prüfgrenze; ","")&amp;IF(AND(BF263="Ja",ISNUMBER(AC263),AC263&gt;P_MaxWocheJugend),"Jugendlicher &gt; 40 h/Woche; ","")&amp;IF(AND(ISNUMBER(BD263),BD263&lt;P_Mindestlohn,Q263&lt;&gt;"Auszubildende/r",Q263&lt;&gt;"Praktikant/in"),"Mindestlohn unterschritten?; ","")&amp;IF(AND(Q263="Minijob (geringfügig)",ISNUMBER(BB263),BB263&gt;P_Minijob),"Minijob-Grenze überschritten; ","")&amp;IF(AND(R263="Ja",S263=""),"Befristung ohne Enddatum; ","")&amp;IF(AND(ISNUMBER(O263),ISNUMBER(N263),O263&lt;N263),"Austritt vor Eintritt; ","")&amp;IF(AND(ISNUMBER(AU263),ISNUMBER(AV263),AU263&lt;AV263),"Urlaub unter gesetzl. Minimum; ","")&amp;IF(AND(ISNUMBER(AC263),ISNUMBER(AF263),ABS(N(AC263)-N(AF263))&gt;0.01),"Wochenstd. weichen vom Modell ab; ","")&amp;IF(AND(AI263="Ja",OR(AJ263="",AK263="")),"Kontogrenzen fehlen; ","")&amp;IF(AND(AL263="Mit Gehalt abgegolten (Pauschale)",AM263=""),"Überstunden-Pauschale fehlt; ","")))</f>
        <v/>
      </c>
      <c r="BH263" s="38"/>
    </row>
    <row r="264" customFormat="false" ht="15" hidden="false" customHeight="false" outlineLevel="0" collapsed="false">
      <c r="A264" s="37"/>
      <c r="B264" s="38"/>
      <c r="C264" s="38"/>
      <c r="D264" s="38"/>
      <c r="E264" s="38"/>
      <c r="F264" s="39"/>
      <c r="G264" s="38"/>
      <c r="H264" s="38"/>
      <c r="I264" s="37"/>
      <c r="J264" s="38"/>
      <c r="K264" s="38"/>
      <c r="L264" s="38"/>
      <c r="M264" s="38"/>
      <c r="N264" s="39"/>
      <c r="O264" s="39"/>
      <c r="P264" s="38"/>
      <c r="Q264" s="38"/>
      <c r="R264" s="38"/>
      <c r="S264" s="39"/>
      <c r="T264" s="39"/>
      <c r="U264" s="38"/>
      <c r="V264" s="38"/>
      <c r="W264" s="37"/>
      <c r="X264" s="38"/>
      <c r="Y264" s="38"/>
      <c r="Z264" s="37"/>
      <c r="AA264" s="38"/>
      <c r="AB264" s="38"/>
      <c r="AC264" s="40"/>
      <c r="AD264" s="41"/>
      <c r="AE264" s="42" t="str">
        <f aca="false">IF(OR(A264="",NOT(ISNUMBER(AC264)),NOT(ISNUMBER(AD264))),"",IF(AD264&gt;0,AC264/AD264,""))</f>
        <v/>
      </c>
      <c r="AF264" s="42" t="str">
        <f aca="false">IF(OR(A264="",AB264=""),"",IFERROR(INDEX(Arbeitszeitmodelle!$C$5:$C$34,MATCH(AB264,Arbeitszeitmodelle!$A$5:$A$34,0)),""))</f>
        <v/>
      </c>
      <c r="AG264" s="38"/>
      <c r="AH264" s="38"/>
      <c r="AI264" s="38"/>
      <c r="AJ264" s="41"/>
      <c r="AK264" s="41"/>
      <c r="AL264" s="38"/>
      <c r="AM264" s="41"/>
      <c r="AN264" s="38"/>
      <c r="AO264" s="38"/>
      <c r="AP264" s="38"/>
      <c r="AQ264" s="38"/>
      <c r="AR264" s="41"/>
      <c r="AS264" s="40"/>
      <c r="AT264" s="39"/>
      <c r="AU264" s="41"/>
      <c r="AV264" s="43" t="str">
        <f aca="false">IF(OR(A264="",NOT(ISNUMBER(AD264))),"",P_MinUrlaubWerktage/6*AD264)</f>
        <v/>
      </c>
      <c r="AW264" s="43" t="str">
        <f aca="false">IF(A264="","",IF(M264="Ja",P_ZusatzSB*IF(ISNUMBER(AD264),AD264,5)/5,0))</f>
        <v/>
      </c>
      <c r="AX264" s="41"/>
      <c r="AY264" s="39"/>
      <c r="AZ264" s="43" t="str">
        <f aca="false">IF(OR(A264="",NOT(ISNUMBER(AU264))),"",SUM(AU264,AW264,AX264))</f>
        <v/>
      </c>
      <c r="BA264" s="38"/>
      <c r="BB264" s="44"/>
      <c r="BC264" s="44"/>
      <c r="BD264" s="45" t="str">
        <f aca="false">IF(A264="","",IF(BA264="Stundenlohn",IF(ISNUMBER(BC264),BC264,""),IF(AND(ISNUMBER(BB264),ISNUMBER(AC264)),IF(AC264&gt;0,BB264*12/(AC264*52),""),"")))</f>
        <v/>
      </c>
      <c r="BE264" s="46" t="str">
        <f aca="false">IF(OR(A264="",NOT(ISNUMBER(F264))),"",IFERROR(DATEDIF(F264,P_Stichtag,"Y"),""))</f>
        <v/>
      </c>
      <c r="BF264" s="47" t="str">
        <f aca="false">IF(OR(A264="",NOT(ISNUMBER(BE264))),"",IF(BE264&lt;18,"Ja","Nein"))</f>
        <v/>
      </c>
      <c r="BG264" s="48" t="str">
        <f aca="false">IF(A264="","",IF((IF(OR(B264="",C264="",F264="",N264="",Q264="",AB264="",AC264="",AD264="",AU264=""),"Pflichtfelder fehlen; ","")&amp;IF(AND(ISNUMBER(AC264),AC264&gt;P_MaxWoche),"Wochenstunden &gt; Prüfgrenze; ","")&amp;IF(AND(BF264="Ja",ISNUMBER(AC264),AC264&gt;P_MaxWocheJugend),"Jugendlicher &gt; 40 h/Woche; ","")&amp;IF(AND(ISNUMBER(BD264),BD264&lt;P_Mindestlohn,Q264&lt;&gt;"Auszubildende/r",Q264&lt;&gt;"Praktikant/in"),"Mindestlohn unterschritten?; ","")&amp;IF(AND(Q264="Minijob (geringfügig)",ISNUMBER(BB264),BB264&gt;P_Minijob),"Minijob-Grenze überschritten; ","")&amp;IF(AND(R264="Ja",S264=""),"Befristung ohne Enddatum; ","")&amp;IF(AND(ISNUMBER(O264),ISNUMBER(N264),O264&lt;N264),"Austritt vor Eintritt; ","")&amp;IF(AND(ISNUMBER(AU264),ISNUMBER(AV264),AU264&lt;AV264),"Urlaub unter gesetzl. Minimum; ","")&amp;IF(AND(ISNUMBER(AC264),ISNUMBER(AF264),ABS(N(AC264)-N(AF264))&gt;0.01),"Wochenstd. weichen vom Modell ab; ","")&amp;IF(AND(AI264="Ja",OR(AJ264="",AK264="")),"Kontogrenzen fehlen; ","")&amp;IF(AND(AL264="Mit Gehalt abgegolten (Pauschale)",AM264=""),"Überstunden-Pauschale fehlt; ",""))="","OK",IF(OR(B264="",C264="",F264="",N264="",Q264="",AB264="",AC264="",AD264="",AU264=""),"Pflichtfelder fehlen; ","")&amp;IF(AND(ISNUMBER(AC264),AC264&gt;P_MaxWoche),"Wochenstunden &gt; Prüfgrenze; ","")&amp;IF(AND(BF264="Ja",ISNUMBER(AC264),AC264&gt;P_MaxWocheJugend),"Jugendlicher &gt; 40 h/Woche; ","")&amp;IF(AND(ISNUMBER(BD264),BD264&lt;P_Mindestlohn,Q264&lt;&gt;"Auszubildende/r",Q264&lt;&gt;"Praktikant/in"),"Mindestlohn unterschritten?; ","")&amp;IF(AND(Q264="Minijob (geringfügig)",ISNUMBER(BB264),BB264&gt;P_Minijob),"Minijob-Grenze überschritten; ","")&amp;IF(AND(R264="Ja",S264=""),"Befristung ohne Enddatum; ","")&amp;IF(AND(ISNUMBER(O264),ISNUMBER(N264),O264&lt;N264),"Austritt vor Eintritt; ","")&amp;IF(AND(ISNUMBER(AU264),ISNUMBER(AV264),AU264&lt;AV264),"Urlaub unter gesetzl. Minimum; ","")&amp;IF(AND(ISNUMBER(AC264),ISNUMBER(AF264),ABS(N(AC264)-N(AF264))&gt;0.01),"Wochenstd. weichen vom Modell ab; ","")&amp;IF(AND(AI264="Ja",OR(AJ264="",AK264="")),"Kontogrenzen fehlen; ","")&amp;IF(AND(AL264="Mit Gehalt abgegolten (Pauschale)",AM264=""),"Überstunden-Pauschale fehlt; ","")))</f>
        <v/>
      </c>
      <c r="BH264" s="38"/>
    </row>
    <row r="265" customFormat="false" ht="15" hidden="false" customHeight="false" outlineLevel="0" collapsed="false">
      <c r="A265" s="37"/>
      <c r="B265" s="38"/>
      <c r="C265" s="38"/>
      <c r="D265" s="38"/>
      <c r="E265" s="38"/>
      <c r="F265" s="39"/>
      <c r="G265" s="38"/>
      <c r="H265" s="38"/>
      <c r="I265" s="37"/>
      <c r="J265" s="38"/>
      <c r="K265" s="38"/>
      <c r="L265" s="38"/>
      <c r="M265" s="38"/>
      <c r="N265" s="39"/>
      <c r="O265" s="39"/>
      <c r="P265" s="38"/>
      <c r="Q265" s="38"/>
      <c r="R265" s="38"/>
      <c r="S265" s="39"/>
      <c r="T265" s="39"/>
      <c r="U265" s="38"/>
      <c r="V265" s="38"/>
      <c r="W265" s="37"/>
      <c r="X265" s="38"/>
      <c r="Y265" s="38"/>
      <c r="Z265" s="37"/>
      <c r="AA265" s="38"/>
      <c r="AB265" s="38"/>
      <c r="AC265" s="40"/>
      <c r="AD265" s="41"/>
      <c r="AE265" s="42" t="str">
        <f aca="false">IF(OR(A265="",NOT(ISNUMBER(AC265)),NOT(ISNUMBER(AD265))),"",IF(AD265&gt;0,AC265/AD265,""))</f>
        <v/>
      </c>
      <c r="AF265" s="42" t="str">
        <f aca="false">IF(OR(A265="",AB265=""),"",IFERROR(INDEX(Arbeitszeitmodelle!$C$5:$C$34,MATCH(AB265,Arbeitszeitmodelle!$A$5:$A$34,0)),""))</f>
        <v/>
      </c>
      <c r="AG265" s="38"/>
      <c r="AH265" s="38"/>
      <c r="AI265" s="38"/>
      <c r="AJ265" s="41"/>
      <c r="AK265" s="41"/>
      <c r="AL265" s="38"/>
      <c r="AM265" s="41"/>
      <c r="AN265" s="38"/>
      <c r="AO265" s="38"/>
      <c r="AP265" s="38"/>
      <c r="AQ265" s="38"/>
      <c r="AR265" s="41"/>
      <c r="AS265" s="40"/>
      <c r="AT265" s="39"/>
      <c r="AU265" s="41"/>
      <c r="AV265" s="43" t="str">
        <f aca="false">IF(OR(A265="",NOT(ISNUMBER(AD265))),"",P_MinUrlaubWerktage/6*AD265)</f>
        <v/>
      </c>
      <c r="AW265" s="43" t="str">
        <f aca="false">IF(A265="","",IF(M265="Ja",P_ZusatzSB*IF(ISNUMBER(AD265),AD265,5)/5,0))</f>
        <v/>
      </c>
      <c r="AX265" s="41"/>
      <c r="AY265" s="39"/>
      <c r="AZ265" s="43" t="str">
        <f aca="false">IF(OR(A265="",NOT(ISNUMBER(AU265))),"",SUM(AU265,AW265,AX265))</f>
        <v/>
      </c>
      <c r="BA265" s="38"/>
      <c r="BB265" s="44"/>
      <c r="BC265" s="44"/>
      <c r="BD265" s="45" t="str">
        <f aca="false">IF(A265="","",IF(BA265="Stundenlohn",IF(ISNUMBER(BC265),BC265,""),IF(AND(ISNUMBER(BB265),ISNUMBER(AC265)),IF(AC265&gt;0,BB265*12/(AC265*52),""),"")))</f>
        <v/>
      </c>
      <c r="BE265" s="46" t="str">
        <f aca="false">IF(OR(A265="",NOT(ISNUMBER(F265))),"",IFERROR(DATEDIF(F265,P_Stichtag,"Y"),""))</f>
        <v/>
      </c>
      <c r="BF265" s="47" t="str">
        <f aca="false">IF(OR(A265="",NOT(ISNUMBER(BE265))),"",IF(BE265&lt;18,"Ja","Nein"))</f>
        <v/>
      </c>
      <c r="BG265" s="48" t="str">
        <f aca="false">IF(A265="","",IF((IF(OR(B265="",C265="",F265="",N265="",Q265="",AB265="",AC265="",AD265="",AU265=""),"Pflichtfelder fehlen; ","")&amp;IF(AND(ISNUMBER(AC265),AC265&gt;P_MaxWoche),"Wochenstunden &gt; Prüfgrenze; ","")&amp;IF(AND(BF265="Ja",ISNUMBER(AC265),AC265&gt;P_MaxWocheJugend),"Jugendlicher &gt; 40 h/Woche; ","")&amp;IF(AND(ISNUMBER(BD265),BD265&lt;P_Mindestlohn,Q265&lt;&gt;"Auszubildende/r",Q265&lt;&gt;"Praktikant/in"),"Mindestlohn unterschritten?; ","")&amp;IF(AND(Q265="Minijob (geringfügig)",ISNUMBER(BB265),BB265&gt;P_Minijob),"Minijob-Grenze überschritten; ","")&amp;IF(AND(R265="Ja",S265=""),"Befristung ohne Enddatum; ","")&amp;IF(AND(ISNUMBER(O265),ISNUMBER(N265),O265&lt;N265),"Austritt vor Eintritt; ","")&amp;IF(AND(ISNUMBER(AU265),ISNUMBER(AV265),AU265&lt;AV265),"Urlaub unter gesetzl. Minimum; ","")&amp;IF(AND(ISNUMBER(AC265),ISNUMBER(AF265),ABS(N(AC265)-N(AF265))&gt;0.01),"Wochenstd. weichen vom Modell ab; ","")&amp;IF(AND(AI265="Ja",OR(AJ265="",AK265="")),"Kontogrenzen fehlen; ","")&amp;IF(AND(AL265="Mit Gehalt abgegolten (Pauschale)",AM265=""),"Überstunden-Pauschale fehlt; ",""))="","OK",IF(OR(B265="",C265="",F265="",N265="",Q265="",AB265="",AC265="",AD265="",AU265=""),"Pflichtfelder fehlen; ","")&amp;IF(AND(ISNUMBER(AC265),AC265&gt;P_MaxWoche),"Wochenstunden &gt; Prüfgrenze; ","")&amp;IF(AND(BF265="Ja",ISNUMBER(AC265),AC265&gt;P_MaxWocheJugend),"Jugendlicher &gt; 40 h/Woche; ","")&amp;IF(AND(ISNUMBER(BD265),BD265&lt;P_Mindestlohn,Q265&lt;&gt;"Auszubildende/r",Q265&lt;&gt;"Praktikant/in"),"Mindestlohn unterschritten?; ","")&amp;IF(AND(Q265="Minijob (geringfügig)",ISNUMBER(BB265),BB265&gt;P_Minijob),"Minijob-Grenze überschritten; ","")&amp;IF(AND(R265="Ja",S265=""),"Befristung ohne Enddatum; ","")&amp;IF(AND(ISNUMBER(O265),ISNUMBER(N265),O265&lt;N265),"Austritt vor Eintritt; ","")&amp;IF(AND(ISNUMBER(AU265),ISNUMBER(AV265),AU265&lt;AV265),"Urlaub unter gesetzl. Minimum; ","")&amp;IF(AND(ISNUMBER(AC265),ISNUMBER(AF265),ABS(N(AC265)-N(AF265))&gt;0.01),"Wochenstd. weichen vom Modell ab; ","")&amp;IF(AND(AI265="Ja",OR(AJ265="",AK265="")),"Kontogrenzen fehlen; ","")&amp;IF(AND(AL265="Mit Gehalt abgegolten (Pauschale)",AM265=""),"Überstunden-Pauschale fehlt; ","")))</f>
        <v/>
      </c>
      <c r="BH265" s="38"/>
    </row>
    <row r="266" customFormat="false" ht="15" hidden="false" customHeight="false" outlineLevel="0" collapsed="false">
      <c r="A266" s="37"/>
      <c r="B266" s="38"/>
      <c r="C266" s="38"/>
      <c r="D266" s="38"/>
      <c r="E266" s="38"/>
      <c r="F266" s="39"/>
      <c r="G266" s="38"/>
      <c r="H266" s="38"/>
      <c r="I266" s="37"/>
      <c r="J266" s="38"/>
      <c r="K266" s="38"/>
      <c r="L266" s="38"/>
      <c r="M266" s="38"/>
      <c r="N266" s="39"/>
      <c r="O266" s="39"/>
      <c r="P266" s="38"/>
      <c r="Q266" s="38"/>
      <c r="R266" s="38"/>
      <c r="S266" s="39"/>
      <c r="T266" s="39"/>
      <c r="U266" s="38"/>
      <c r="V266" s="38"/>
      <c r="W266" s="37"/>
      <c r="X266" s="38"/>
      <c r="Y266" s="38"/>
      <c r="Z266" s="37"/>
      <c r="AA266" s="38"/>
      <c r="AB266" s="38"/>
      <c r="AC266" s="40"/>
      <c r="AD266" s="41"/>
      <c r="AE266" s="42" t="str">
        <f aca="false">IF(OR(A266="",NOT(ISNUMBER(AC266)),NOT(ISNUMBER(AD266))),"",IF(AD266&gt;0,AC266/AD266,""))</f>
        <v/>
      </c>
      <c r="AF266" s="42" t="str">
        <f aca="false">IF(OR(A266="",AB266=""),"",IFERROR(INDEX(Arbeitszeitmodelle!$C$5:$C$34,MATCH(AB266,Arbeitszeitmodelle!$A$5:$A$34,0)),""))</f>
        <v/>
      </c>
      <c r="AG266" s="38"/>
      <c r="AH266" s="38"/>
      <c r="AI266" s="38"/>
      <c r="AJ266" s="41"/>
      <c r="AK266" s="41"/>
      <c r="AL266" s="38"/>
      <c r="AM266" s="41"/>
      <c r="AN266" s="38"/>
      <c r="AO266" s="38"/>
      <c r="AP266" s="38"/>
      <c r="AQ266" s="38"/>
      <c r="AR266" s="41"/>
      <c r="AS266" s="40"/>
      <c r="AT266" s="39"/>
      <c r="AU266" s="41"/>
      <c r="AV266" s="43" t="str">
        <f aca="false">IF(OR(A266="",NOT(ISNUMBER(AD266))),"",P_MinUrlaubWerktage/6*AD266)</f>
        <v/>
      </c>
      <c r="AW266" s="43" t="str">
        <f aca="false">IF(A266="","",IF(M266="Ja",P_ZusatzSB*IF(ISNUMBER(AD266),AD266,5)/5,0))</f>
        <v/>
      </c>
      <c r="AX266" s="41"/>
      <c r="AY266" s="39"/>
      <c r="AZ266" s="43" t="str">
        <f aca="false">IF(OR(A266="",NOT(ISNUMBER(AU266))),"",SUM(AU266,AW266,AX266))</f>
        <v/>
      </c>
      <c r="BA266" s="38"/>
      <c r="BB266" s="44"/>
      <c r="BC266" s="44"/>
      <c r="BD266" s="45" t="str">
        <f aca="false">IF(A266="","",IF(BA266="Stundenlohn",IF(ISNUMBER(BC266),BC266,""),IF(AND(ISNUMBER(BB266),ISNUMBER(AC266)),IF(AC266&gt;0,BB266*12/(AC266*52),""),"")))</f>
        <v/>
      </c>
      <c r="BE266" s="46" t="str">
        <f aca="false">IF(OR(A266="",NOT(ISNUMBER(F266))),"",IFERROR(DATEDIF(F266,P_Stichtag,"Y"),""))</f>
        <v/>
      </c>
      <c r="BF266" s="47" t="str">
        <f aca="false">IF(OR(A266="",NOT(ISNUMBER(BE266))),"",IF(BE266&lt;18,"Ja","Nein"))</f>
        <v/>
      </c>
      <c r="BG266" s="48" t="str">
        <f aca="false">IF(A266="","",IF((IF(OR(B266="",C266="",F266="",N266="",Q266="",AB266="",AC266="",AD266="",AU266=""),"Pflichtfelder fehlen; ","")&amp;IF(AND(ISNUMBER(AC266),AC266&gt;P_MaxWoche),"Wochenstunden &gt; Prüfgrenze; ","")&amp;IF(AND(BF266="Ja",ISNUMBER(AC266),AC266&gt;P_MaxWocheJugend),"Jugendlicher &gt; 40 h/Woche; ","")&amp;IF(AND(ISNUMBER(BD266),BD266&lt;P_Mindestlohn,Q266&lt;&gt;"Auszubildende/r",Q266&lt;&gt;"Praktikant/in"),"Mindestlohn unterschritten?; ","")&amp;IF(AND(Q266="Minijob (geringfügig)",ISNUMBER(BB266),BB266&gt;P_Minijob),"Minijob-Grenze überschritten; ","")&amp;IF(AND(R266="Ja",S266=""),"Befristung ohne Enddatum; ","")&amp;IF(AND(ISNUMBER(O266),ISNUMBER(N266),O266&lt;N266),"Austritt vor Eintritt; ","")&amp;IF(AND(ISNUMBER(AU266),ISNUMBER(AV266),AU266&lt;AV266),"Urlaub unter gesetzl. Minimum; ","")&amp;IF(AND(ISNUMBER(AC266),ISNUMBER(AF266),ABS(N(AC266)-N(AF266))&gt;0.01),"Wochenstd. weichen vom Modell ab; ","")&amp;IF(AND(AI266="Ja",OR(AJ266="",AK266="")),"Kontogrenzen fehlen; ","")&amp;IF(AND(AL266="Mit Gehalt abgegolten (Pauschale)",AM266=""),"Überstunden-Pauschale fehlt; ",""))="","OK",IF(OR(B266="",C266="",F266="",N266="",Q266="",AB266="",AC266="",AD266="",AU266=""),"Pflichtfelder fehlen; ","")&amp;IF(AND(ISNUMBER(AC266),AC266&gt;P_MaxWoche),"Wochenstunden &gt; Prüfgrenze; ","")&amp;IF(AND(BF266="Ja",ISNUMBER(AC266),AC266&gt;P_MaxWocheJugend),"Jugendlicher &gt; 40 h/Woche; ","")&amp;IF(AND(ISNUMBER(BD266),BD266&lt;P_Mindestlohn,Q266&lt;&gt;"Auszubildende/r",Q266&lt;&gt;"Praktikant/in"),"Mindestlohn unterschritten?; ","")&amp;IF(AND(Q266="Minijob (geringfügig)",ISNUMBER(BB266),BB266&gt;P_Minijob),"Minijob-Grenze überschritten; ","")&amp;IF(AND(R266="Ja",S266=""),"Befristung ohne Enddatum; ","")&amp;IF(AND(ISNUMBER(O266),ISNUMBER(N266),O266&lt;N266),"Austritt vor Eintritt; ","")&amp;IF(AND(ISNUMBER(AU266),ISNUMBER(AV266),AU266&lt;AV266),"Urlaub unter gesetzl. Minimum; ","")&amp;IF(AND(ISNUMBER(AC266),ISNUMBER(AF266),ABS(N(AC266)-N(AF266))&gt;0.01),"Wochenstd. weichen vom Modell ab; ","")&amp;IF(AND(AI266="Ja",OR(AJ266="",AK266="")),"Kontogrenzen fehlen; ","")&amp;IF(AND(AL266="Mit Gehalt abgegolten (Pauschale)",AM266=""),"Überstunden-Pauschale fehlt; ","")))</f>
        <v/>
      </c>
      <c r="BH266" s="38"/>
    </row>
    <row r="267" customFormat="false" ht="15" hidden="false" customHeight="false" outlineLevel="0" collapsed="false">
      <c r="A267" s="37"/>
      <c r="B267" s="38"/>
      <c r="C267" s="38"/>
      <c r="D267" s="38"/>
      <c r="E267" s="38"/>
      <c r="F267" s="39"/>
      <c r="G267" s="38"/>
      <c r="H267" s="38"/>
      <c r="I267" s="37"/>
      <c r="J267" s="38"/>
      <c r="K267" s="38"/>
      <c r="L267" s="38"/>
      <c r="M267" s="38"/>
      <c r="N267" s="39"/>
      <c r="O267" s="39"/>
      <c r="P267" s="38"/>
      <c r="Q267" s="38"/>
      <c r="R267" s="38"/>
      <c r="S267" s="39"/>
      <c r="T267" s="39"/>
      <c r="U267" s="38"/>
      <c r="V267" s="38"/>
      <c r="W267" s="37"/>
      <c r="X267" s="38"/>
      <c r="Y267" s="38"/>
      <c r="Z267" s="37"/>
      <c r="AA267" s="38"/>
      <c r="AB267" s="38"/>
      <c r="AC267" s="40"/>
      <c r="AD267" s="41"/>
      <c r="AE267" s="42" t="str">
        <f aca="false">IF(OR(A267="",NOT(ISNUMBER(AC267)),NOT(ISNUMBER(AD267))),"",IF(AD267&gt;0,AC267/AD267,""))</f>
        <v/>
      </c>
      <c r="AF267" s="42" t="str">
        <f aca="false">IF(OR(A267="",AB267=""),"",IFERROR(INDEX(Arbeitszeitmodelle!$C$5:$C$34,MATCH(AB267,Arbeitszeitmodelle!$A$5:$A$34,0)),""))</f>
        <v/>
      </c>
      <c r="AG267" s="38"/>
      <c r="AH267" s="38"/>
      <c r="AI267" s="38"/>
      <c r="AJ267" s="41"/>
      <c r="AK267" s="41"/>
      <c r="AL267" s="38"/>
      <c r="AM267" s="41"/>
      <c r="AN267" s="38"/>
      <c r="AO267" s="38"/>
      <c r="AP267" s="38"/>
      <c r="AQ267" s="38"/>
      <c r="AR267" s="41"/>
      <c r="AS267" s="40"/>
      <c r="AT267" s="39"/>
      <c r="AU267" s="41"/>
      <c r="AV267" s="43" t="str">
        <f aca="false">IF(OR(A267="",NOT(ISNUMBER(AD267))),"",P_MinUrlaubWerktage/6*AD267)</f>
        <v/>
      </c>
      <c r="AW267" s="43" t="str">
        <f aca="false">IF(A267="","",IF(M267="Ja",P_ZusatzSB*IF(ISNUMBER(AD267),AD267,5)/5,0))</f>
        <v/>
      </c>
      <c r="AX267" s="41"/>
      <c r="AY267" s="39"/>
      <c r="AZ267" s="43" t="str">
        <f aca="false">IF(OR(A267="",NOT(ISNUMBER(AU267))),"",SUM(AU267,AW267,AX267))</f>
        <v/>
      </c>
      <c r="BA267" s="38"/>
      <c r="BB267" s="44"/>
      <c r="BC267" s="44"/>
      <c r="BD267" s="45" t="str">
        <f aca="false">IF(A267="","",IF(BA267="Stundenlohn",IF(ISNUMBER(BC267),BC267,""),IF(AND(ISNUMBER(BB267),ISNUMBER(AC267)),IF(AC267&gt;0,BB267*12/(AC267*52),""),"")))</f>
        <v/>
      </c>
      <c r="BE267" s="46" t="str">
        <f aca="false">IF(OR(A267="",NOT(ISNUMBER(F267))),"",IFERROR(DATEDIF(F267,P_Stichtag,"Y"),""))</f>
        <v/>
      </c>
      <c r="BF267" s="47" t="str">
        <f aca="false">IF(OR(A267="",NOT(ISNUMBER(BE267))),"",IF(BE267&lt;18,"Ja","Nein"))</f>
        <v/>
      </c>
      <c r="BG267" s="48" t="str">
        <f aca="false">IF(A267="","",IF((IF(OR(B267="",C267="",F267="",N267="",Q267="",AB267="",AC267="",AD267="",AU267=""),"Pflichtfelder fehlen; ","")&amp;IF(AND(ISNUMBER(AC267),AC267&gt;P_MaxWoche),"Wochenstunden &gt; Prüfgrenze; ","")&amp;IF(AND(BF267="Ja",ISNUMBER(AC267),AC267&gt;P_MaxWocheJugend),"Jugendlicher &gt; 40 h/Woche; ","")&amp;IF(AND(ISNUMBER(BD267),BD267&lt;P_Mindestlohn,Q267&lt;&gt;"Auszubildende/r",Q267&lt;&gt;"Praktikant/in"),"Mindestlohn unterschritten?; ","")&amp;IF(AND(Q267="Minijob (geringfügig)",ISNUMBER(BB267),BB267&gt;P_Minijob),"Minijob-Grenze überschritten; ","")&amp;IF(AND(R267="Ja",S267=""),"Befristung ohne Enddatum; ","")&amp;IF(AND(ISNUMBER(O267),ISNUMBER(N267),O267&lt;N267),"Austritt vor Eintritt; ","")&amp;IF(AND(ISNUMBER(AU267),ISNUMBER(AV267),AU267&lt;AV267),"Urlaub unter gesetzl. Minimum; ","")&amp;IF(AND(ISNUMBER(AC267),ISNUMBER(AF267),ABS(N(AC267)-N(AF267))&gt;0.01),"Wochenstd. weichen vom Modell ab; ","")&amp;IF(AND(AI267="Ja",OR(AJ267="",AK267="")),"Kontogrenzen fehlen; ","")&amp;IF(AND(AL267="Mit Gehalt abgegolten (Pauschale)",AM267=""),"Überstunden-Pauschale fehlt; ",""))="","OK",IF(OR(B267="",C267="",F267="",N267="",Q267="",AB267="",AC267="",AD267="",AU267=""),"Pflichtfelder fehlen; ","")&amp;IF(AND(ISNUMBER(AC267),AC267&gt;P_MaxWoche),"Wochenstunden &gt; Prüfgrenze; ","")&amp;IF(AND(BF267="Ja",ISNUMBER(AC267),AC267&gt;P_MaxWocheJugend),"Jugendlicher &gt; 40 h/Woche; ","")&amp;IF(AND(ISNUMBER(BD267),BD267&lt;P_Mindestlohn,Q267&lt;&gt;"Auszubildende/r",Q267&lt;&gt;"Praktikant/in"),"Mindestlohn unterschritten?; ","")&amp;IF(AND(Q267="Minijob (geringfügig)",ISNUMBER(BB267),BB267&gt;P_Minijob),"Minijob-Grenze überschritten; ","")&amp;IF(AND(R267="Ja",S267=""),"Befristung ohne Enddatum; ","")&amp;IF(AND(ISNUMBER(O267),ISNUMBER(N267),O267&lt;N267),"Austritt vor Eintritt; ","")&amp;IF(AND(ISNUMBER(AU267),ISNUMBER(AV267),AU267&lt;AV267),"Urlaub unter gesetzl. Minimum; ","")&amp;IF(AND(ISNUMBER(AC267),ISNUMBER(AF267),ABS(N(AC267)-N(AF267))&gt;0.01),"Wochenstd. weichen vom Modell ab; ","")&amp;IF(AND(AI267="Ja",OR(AJ267="",AK267="")),"Kontogrenzen fehlen; ","")&amp;IF(AND(AL267="Mit Gehalt abgegolten (Pauschale)",AM267=""),"Überstunden-Pauschale fehlt; ","")))</f>
        <v/>
      </c>
      <c r="BH267" s="38"/>
    </row>
    <row r="268" customFormat="false" ht="15" hidden="false" customHeight="false" outlineLevel="0" collapsed="false">
      <c r="A268" s="37"/>
      <c r="B268" s="38"/>
      <c r="C268" s="38"/>
      <c r="D268" s="38"/>
      <c r="E268" s="38"/>
      <c r="F268" s="39"/>
      <c r="G268" s="38"/>
      <c r="H268" s="38"/>
      <c r="I268" s="37"/>
      <c r="J268" s="38"/>
      <c r="K268" s="38"/>
      <c r="L268" s="38"/>
      <c r="M268" s="38"/>
      <c r="N268" s="39"/>
      <c r="O268" s="39"/>
      <c r="P268" s="38"/>
      <c r="Q268" s="38"/>
      <c r="R268" s="38"/>
      <c r="S268" s="39"/>
      <c r="T268" s="39"/>
      <c r="U268" s="38"/>
      <c r="V268" s="38"/>
      <c r="W268" s="37"/>
      <c r="X268" s="38"/>
      <c r="Y268" s="38"/>
      <c r="Z268" s="37"/>
      <c r="AA268" s="38"/>
      <c r="AB268" s="38"/>
      <c r="AC268" s="40"/>
      <c r="AD268" s="41"/>
      <c r="AE268" s="42" t="str">
        <f aca="false">IF(OR(A268="",NOT(ISNUMBER(AC268)),NOT(ISNUMBER(AD268))),"",IF(AD268&gt;0,AC268/AD268,""))</f>
        <v/>
      </c>
      <c r="AF268" s="42" t="str">
        <f aca="false">IF(OR(A268="",AB268=""),"",IFERROR(INDEX(Arbeitszeitmodelle!$C$5:$C$34,MATCH(AB268,Arbeitszeitmodelle!$A$5:$A$34,0)),""))</f>
        <v/>
      </c>
      <c r="AG268" s="38"/>
      <c r="AH268" s="38"/>
      <c r="AI268" s="38"/>
      <c r="AJ268" s="41"/>
      <c r="AK268" s="41"/>
      <c r="AL268" s="38"/>
      <c r="AM268" s="41"/>
      <c r="AN268" s="38"/>
      <c r="AO268" s="38"/>
      <c r="AP268" s="38"/>
      <c r="AQ268" s="38"/>
      <c r="AR268" s="41"/>
      <c r="AS268" s="40"/>
      <c r="AT268" s="39"/>
      <c r="AU268" s="41"/>
      <c r="AV268" s="43" t="str">
        <f aca="false">IF(OR(A268="",NOT(ISNUMBER(AD268))),"",P_MinUrlaubWerktage/6*AD268)</f>
        <v/>
      </c>
      <c r="AW268" s="43" t="str">
        <f aca="false">IF(A268="","",IF(M268="Ja",P_ZusatzSB*IF(ISNUMBER(AD268),AD268,5)/5,0))</f>
        <v/>
      </c>
      <c r="AX268" s="41"/>
      <c r="AY268" s="39"/>
      <c r="AZ268" s="43" t="str">
        <f aca="false">IF(OR(A268="",NOT(ISNUMBER(AU268))),"",SUM(AU268,AW268,AX268))</f>
        <v/>
      </c>
      <c r="BA268" s="38"/>
      <c r="BB268" s="44"/>
      <c r="BC268" s="44"/>
      <c r="BD268" s="45" t="str">
        <f aca="false">IF(A268="","",IF(BA268="Stundenlohn",IF(ISNUMBER(BC268),BC268,""),IF(AND(ISNUMBER(BB268),ISNUMBER(AC268)),IF(AC268&gt;0,BB268*12/(AC268*52),""),"")))</f>
        <v/>
      </c>
      <c r="BE268" s="46" t="str">
        <f aca="false">IF(OR(A268="",NOT(ISNUMBER(F268))),"",IFERROR(DATEDIF(F268,P_Stichtag,"Y"),""))</f>
        <v/>
      </c>
      <c r="BF268" s="47" t="str">
        <f aca="false">IF(OR(A268="",NOT(ISNUMBER(BE268))),"",IF(BE268&lt;18,"Ja","Nein"))</f>
        <v/>
      </c>
      <c r="BG268" s="48" t="str">
        <f aca="false">IF(A268="","",IF((IF(OR(B268="",C268="",F268="",N268="",Q268="",AB268="",AC268="",AD268="",AU268=""),"Pflichtfelder fehlen; ","")&amp;IF(AND(ISNUMBER(AC268),AC268&gt;P_MaxWoche),"Wochenstunden &gt; Prüfgrenze; ","")&amp;IF(AND(BF268="Ja",ISNUMBER(AC268),AC268&gt;P_MaxWocheJugend),"Jugendlicher &gt; 40 h/Woche; ","")&amp;IF(AND(ISNUMBER(BD268),BD268&lt;P_Mindestlohn,Q268&lt;&gt;"Auszubildende/r",Q268&lt;&gt;"Praktikant/in"),"Mindestlohn unterschritten?; ","")&amp;IF(AND(Q268="Minijob (geringfügig)",ISNUMBER(BB268),BB268&gt;P_Minijob),"Minijob-Grenze überschritten; ","")&amp;IF(AND(R268="Ja",S268=""),"Befristung ohne Enddatum; ","")&amp;IF(AND(ISNUMBER(O268),ISNUMBER(N268),O268&lt;N268),"Austritt vor Eintritt; ","")&amp;IF(AND(ISNUMBER(AU268),ISNUMBER(AV268),AU268&lt;AV268),"Urlaub unter gesetzl. Minimum; ","")&amp;IF(AND(ISNUMBER(AC268),ISNUMBER(AF268),ABS(N(AC268)-N(AF268))&gt;0.01),"Wochenstd. weichen vom Modell ab; ","")&amp;IF(AND(AI268="Ja",OR(AJ268="",AK268="")),"Kontogrenzen fehlen; ","")&amp;IF(AND(AL268="Mit Gehalt abgegolten (Pauschale)",AM268=""),"Überstunden-Pauschale fehlt; ",""))="","OK",IF(OR(B268="",C268="",F268="",N268="",Q268="",AB268="",AC268="",AD268="",AU268=""),"Pflichtfelder fehlen; ","")&amp;IF(AND(ISNUMBER(AC268),AC268&gt;P_MaxWoche),"Wochenstunden &gt; Prüfgrenze; ","")&amp;IF(AND(BF268="Ja",ISNUMBER(AC268),AC268&gt;P_MaxWocheJugend),"Jugendlicher &gt; 40 h/Woche; ","")&amp;IF(AND(ISNUMBER(BD268),BD268&lt;P_Mindestlohn,Q268&lt;&gt;"Auszubildende/r",Q268&lt;&gt;"Praktikant/in"),"Mindestlohn unterschritten?; ","")&amp;IF(AND(Q268="Minijob (geringfügig)",ISNUMBER(BB268),BB268&gt;P_Minijob),"Minijob-Grenze überschritten; ","")&amp;IF(AND(R268="Ja",S268=""),"Befristung ohne Enddatum; ","")&amp;IF(AND(ISNUMBER(O268),ISNUMBER(N268),O268&lt;N268),"Austritt vor Eintritt; ","")&amp;IF(AND(ISNUMBER(AU268),ISNUMBER(AV268),AU268&lt;AV268),"Urlaub unter gesetzl. Minimum; ","")&amp;IF(AND(ISNUMBER(AC268),ISNUMBER(AF268),ABS(N(AC268)-N(AF268))&gt;0.01),"Wochenstd. weichen vom Modell ab; ","")&amp;IF(AND(AI268="Ja",OR(AJ268="",AK268="")),"Kontogrenzen fehlen; ","")&amp;IF(AND(AL268="Mit Gehalt abgegolten (Pauschale)",AM268=""),"Überstunden-Pauschale fehlt; ","")))</f>
        <v/>
      </c>
      <c r="BH268" s="38"/>
    </row>
    <row r="269" customFormat="false" ht="15" hidden="false" customHeight="false" outlineLevel="0" collapsed="false">
      <c r="A269" s="37"/>
      <c r="B269" s="38"/>
      <c r="C269" s="38"/>
      <c r="D269" s="38"/>
      <c r="E269" s="38"/>
      <c r="F269" s="39"/>
      <c r="G269" s="38"/>
      <c r="H269" s="38"/>
      <c r="I269" s="37"/>
      <c r="J269" s="38"/>
      <c r="K269" s="38"/>
      <c r="L269" s="38"/>
      <c r="M269" s="38"/>
      <c r="N269" s="39"/>
      <c r="O269" s="39"/>
      <c r="P269" s="38"/>
      <c r="Q269" s="38"/>
      <c r="R269" s="38"/>
      <c r="S269" s="39"/>
      <c r="T269" s="39"/>
      <c r="U269" s="38"/>
      <c r="V269" s="38"/>
      <c r="W269" s="37"/>
      <c r="X269" s="38"/>
      <c r="Y269" s="38"/>
      <c r="Z269" s="37"/>
      <c r="AA269" s="38"/>
      <c r="AB269" s="38"/>
      <c r="AC269" s="40"/>
      <c r="AD269" s="41"/>
      <c r="AE269" s="42" t="str">
        <f aca="false">IF(OR(A269="",NOT(ISNUMBER(AC269)),NOT(ISNUMBER(AD269))),"",IF(AD269&gt;0,AC269/AD269,""))</f>
        <v/>
      </c>
      <c r="AF269" s="42" t="str">
        <f aca="false">IF(OR(A269="",AB269=""),"",IFERROR(INDEX(Arbeitszeitmodelle!$C$5:$C$34,MATCH(AB269,Arbeitszeitmodelle!$A$5:$A$34,0)),""))</f>
        <v/>
      </c>
      <c r="AG269" s="38"/>
      <c r="AH269" s="38"/>
      <c r="AI269" s="38"/>
      <c r="AJ269" s="41"/>
      <c r="AK269" s="41"/>
      <c r="AL269" s="38"/>
      <c r="AM269" s="41"/>
      <c r="AN269" s="38"/>
      <c r="AO269" s="38"/>
      <c r="AP269" s="38"/>
      <c r="AQ269" s="38"/>
      <c r="AR269" s="41"/>
      <c r="AS269" s="40"/>
      <c r="AT269" s="39"/>
      <c r="AU269" s="41"/>
      <c r="AV269" s="43" t="str">
        <f aca="false">IF(OR(A269="",NOT(ISNUMBER(AD269))),"",P_MinUrlaubWerktage/6*AD269)</f>
        <v/>
      </c>
      <c r="AW269" s="43" t="str">
        <f aca="false">IF(A269="","",IF(M269="Ja",P_ZusatzSB*IF(ISNUMBER(AD269),AD269,5)/5,0))</f>
        <v/>
      </c>
      <c r="AX269" s="41"/>
      <c r="AY269" s="39"/>
      <c r="AZ269" s="43" t="str">
        <f aca="false">IF(OR(A269="",NOT(ISNUMBER(AU269))),"",SUM(AU269,AW269,AX269))</f>
        <v/>
      </c>
      <c r="BA269" s="38"/>
      <c r="BB269" s="44"/>
      <c r="BC269" s="44"/>
      <c r="BD269" s="45" t="str">
        <f aca="false">IF(A269="","",IF(BA269="Stundenlohn",IF(ISNUMBER(BC269),BC269,""),IF(AND(ISNUMBER(BB269),ISNUMBER(AC269)),IF(AC269&gt;0,BB269*12/(AC269*52),""),"")))</f>
        <v/>
      </c>
      <c r="BE269" s="46" t="str">
        <f aca="false">IF(OR(A269="",NOT(ISNUMBER(F269))),"",IFERROR(DATEDIF(F269,P_Stichtag,"Y"),""))</f>
        <v/>
      </c>
      <c r="BF269" s="47" t="str">
        <f aca="false">IF(OR(A269="",NOT(ISNUMBER(BE269))),"",IF(BE269&lt;18,"Ja","Nein"))</f>
        <v/>
      </c>
      <c r="BG269" s="48" t="str">
        <f aca="false">IF(A269="","",IF((IF(OR(B269="",C269="",F269="",N269="",Q269="",AB269="",AC269="",AD269="",AU269=""),"Pflichtfelder fehlen; ","")&amp;IF(AND(ISNUMBER(AC269),AC269&gt;P_MaxWoche),"Wochenstunden &gt; Prüfgrenze; ","")&amp;IF(AND(BF269="Ja",ISNUMBER(AC269),AC269&gt;P_MaxWocheJugend),"Jugendlicher &gt; 40 h/Woche; ","")&amp;IF(AND(ISNUMBER(BD269),BD269&lt;P_Mindestlohn,Q269&lt;&gt;"Auszubildende/r",Q269&lt;&gt;"Praktikant/in"),"Mindestlohn unterschritten?; ","")&amp;IF(AND(Q269="Minijob (geringfügig)",ISNUMBER(BB269),BB269&gt;P_Minijob),"Minijob-Grenze überschritten; ","")&amp;IF(AND(R269="Ja",S269=""),"Befristung ohne Enddatum; ","")&amp;IF(AND(ISNUMBER(O269),ISNUMBER(N269),O269&lt;N269),"Austritt vor Eintritt; ","")&amp;IF(AND(ISNUMBER(AU269),ISNUMBER(AV269),AU269&lt;AV269),"Urlaub unter gesetzl. Minimum; ","")&amp;IF(AND(ISNUMBER(AC269),ISNUMBER(AF269),ABS(N(AC269)-N(AF269))&gt;0.01),"Wochenstd. weichen vom Modell ab; ","")&amp;IF(AND(AI269="Ja",OR(AJ269="",AK269="")),"Kontogrenzen fehlen; ","")&amp;IF(AND(AL269="Mit Gehalt abgegolten (Pauschale)",AM269=""),"Überstunden-Pauschale fehlt; ",""))="","OK",IF(OR(B269="",C269="",F269="",N269="",Q269="",AB269="",AC269="",AD269="",AU269=""),"Pflichtfelder fehlen; ","")&amp;IF(AND(ISNUMBER(AC269),AC269&gt;P_MaxWoche),"Wochenstunden &gt; Prüfgrenze; ","")&amp;IF(AND(BF269="Ja",ISNUMBER(AC269),AC269&gt;P_MaxWocheJugend),"Jugendlicher &gt; 40 h/Woche; ","")&amp;IF(AND(ISNUMBER(BD269),BD269&lt;P_Mindestlohn,Q269&lt;&gt;"Auszubildende/r",Q269&lt;&gt;"Praktikant/in"),"Mindestlohn unterschritten?; ","")&amp;IF(AND(Q269="Minijob (geringfügig)",ISNUMBER(BB269),BB269&gt;P_Minijob),"Minijob-Grenze überschritten; ","")&amp;IF(AND(R269="Ja",S269=""),"Befristung ohne Enddatum; ","")&amp;IF(AND(ISNUMBER(O269),ISNUMBER(N269),O269&lt;N269),"Austritt vor Eintritt; ","")&amp;IF(AND(ISNUMBER(AU269),ISNUMBER(AV269),AU269&lt;AV269),"Urlaub unter gesetzl. Minimum; ","")&amp;IF(AND(ISNUMBER(AC269),ISNUMBER(AF269),ABS(N(AC269)-N(AF269))&gt;0.01),"Wochenstd. weichen vom Modell ab; ","")&amp;IF(AND(AI269="Ja",OR(AJ269="",AK269="")),"Kontogrenzen fehlen; ","")&amp;IF(AND(AL269="Mit Gehalt abgegolten (Pauschale)",AM269=""),"Überstunden-Pauschale fehlt; ","")))</f>
        <v/>
      </c>
      <c r="BH269" s="38"/>
    </row>
    <row r="270" customFormat="false" ht="15" hidden="false" customHeight="false" outlineLevel="0" collapsed="false">
      <c r="A270" s="37"/>
      <c r="B270" s="38"/>
      <c r="C270" s="38"/>
      <c r="D270" s="38"/>
      <c r="E270" s="38"/>
      <c r="F270" s="39"/>
      <c r="G270" s="38"/>
      <c r="H270" s="38"/>
      <c r="I270" s="37"/>
      <c r="J270" s="38"/>
      <c r="K270" s="38"/>
      <c r="L270" s="38"/>
      <c r="M270" s="38"/>
      <c r="N270" s="39"/>
      <c r="O270" s="39"/>
      <c r="P270" s="38"/>
      <c r="Q270" s="38"/>
      <c r="R270" s="38"/>
      <c r="S270" s="39"/>
      <c r="T270" s="39"/>
      <c r="U270" s="38"/>
      <c r="V270" s="38"/>
      <c r="W270" s="37"/>
      <c r="X270" s="38"/>
      <c r="Y270" s="38"/>
      <c r="Z270" s="37"/>
      <c r="AA270" s="38"/>
      <c r="AB270" s="38"/>
      <c r="AC270" s="40"/>
      <c r="AD270" s="41"/>
      <c r="AE270" s="42" t="str">
        <f aca="false">IF(OR(A270="",NOT(ISNUMBER(AC270)),NOT(ISNUMBER(AD270))),"",IF(AD270&gt;0,AC270/AD270,""))</f>
        <v/>
      </c>
      <c r="AF270" s="42" t="str">
        <f aca="false">IF(OR(A270="",AB270=""),"",IFERROR(INDEX(Arbeitszeitmodelle!$C$5:$C$34,MATCH(AB270,Arbeitszeitmodelle!$A$5:$A$34,0)),""))</f>
        <v/>
      </c>
      <c r="AG270" s="38"/>
      <c r="AH270" s="38"/>
      <c r="AI270" s="38"/>
      <c r="AJ270" s="41"/>
      <c r="AK270" s="41"/>
      <c r="AL270" s="38"/>
      <c r="AM270" s="41"/>
      <c r="AN270" s="38"/>
      <c r="AO270" s="38"/>
      <c r="AP270" s="38"/>
      <c r="AQ270" s="38"/>
      <c r="AR270" s="41"/>
      <c r="AS270" s="40"/>
      <c r="AT270" s="39"/>
      <c r="AU270" s="41"/>
      <c r="AV270" s="43" t="str">
        <f aca="false">IF(OR(A270="",NOT(ISNUMBER(AD270))),"",P_MinUrlaubWerktage/6*AD270)</f>
        <v/>
      </c>
      <c r="AW270" s="43" t="str">
        <f aca="false">IF(A270="","",IF(M270="Ja",P_ZusatzSB*IF(ISNUMBER(AD270),AD270,5)/5,0))</f>
        <v/>
      </c>
      <c r="AX270" s="41"/>
      <c r="AY270" s="39"/>
      <c r="AZ270" s="43" t="str">
        <f aca="false">IF(OR(A270="",NOT(ISNUMBER(AU270))),"",SUM(AU270,AW270,AX270))</f>
        <v/>
      </c>
      <c r="BA270" s="38"/>
      <c r="BB270" s="44"/>
      <c r="BC270" s="44"/>
      <c r="BD270" s="45" t="str">
        <f aca="false">IF(A270="","",IF(BA270="Stundenlohn",IF(ISNUMBER(BC270),BC270,""),IF(AND(ISNUMBER(BB270),ISNUMBER(AC270)),IF(AC270&gt;0,BB270*12/(AC270*52),""),"")))</f>
        <v/>
      </c>
      <c r="BE270" s="46" t="str">
        <f aca="false">IF(OR(A270="",NOT(ISNUMBER(F270))),"",IFERROR(DATEDIF(F270,P_Stichtag,"Y"),""))</f>
        <v/>
      </c>
      <c r="BF270" s="47" t="str">
        <f aca="false">IF(OR(A270="",NOT(ISNUMBER(BE270))),"",IF(BE270&lt;18,"Ja","Nein"))</f>
        <v/>
      </c>
      <c r="BG270" s="48" t="str">
        <f aca="false">IF(A270="","",IF((IF(OR(B270="",C270="",F270="",N270="",Q270="",AB270="",AC270="",AD270="",AU270=""),"Pflichtfelder fehlen; ","")&amp;IF(AND(ISNUMBER(AC270),AC270&gt;P_MaxWoche),"Wochenstunden &gt; Prüfgrenze; ","")&amp;IF(AND(BF270="Ja",ISNUMBER(AC270),AC270&gt;P_MaxWocheJugend),"Jugendlicher &gt; 40 h/Woche; ","")&amp;IF(AND(ISNUMBER(BD270),BD270&lt;P_Mindestlohn,Q270&lt;&gt;"Auszubildende/r",Q270&lt;&gt;"Praktikant/in"),"Mindestlohn unterschritten?; ","")&amp;IF(AND(Q270="Minijob (geringfügig)",ISNUMBER(BB270),BB270&gt;P_Minijob),"Minijob-Grenze überschritten; ","")&amp;IF(AND(R270="Ja",S270=""),"Befristung ohne Enddatum; ","")&amp;IF(AND(ISNUMBER(O270),ISNUMBER(N270),O270&lt;N270),"Austritt vor Eintritt; ","")&amp;IF(AND(ISNUMBER(AU270),ISNUMBER(AV270),AU270&lt;AV270),"Urlaub unter gesetzl. Minimum; ","")&amp;IF(AND(ISNUMBER(AC270),ISNUMBER(AF270),ABS(N(AC270)-N(AF270))&gt;0.01),"Wochenstd. weichen vom Modell ab; ","")&amp;IF(AND(AI270="Ja",OR(AJ270="",AK270="")),"Kontogrenzen fehlen; ","")&amp;IF(AND(AL270="Mit Gehalt abgegolten (Pauschale)",AM270=""),"Überstunden-Pauschale fehlt; ",""))="","OK",IF(OR(B270="",C270="",F270="",N270="",Q270="",AB270="",AC270="",AD270="",AU270=""),"Pflichtfelder fehlen; ","")&amp;IF(AND(ISNUMBER(AC270),AC270&gt;P_MaxWoche),"Wochenstunden &gt; Prüfgrenze; ","")&amp;IF(AND(BF270="Ja",ISNUMBER(AC270),AC270&gt;P_MaxWocheJugend),"Jugendlicher &gt; 40 h/Woche; ","")&amp;IF(AND(ISNUMBER(BD270),BD270&lt;P_Mindestlohn,Q270&lt;&gt;"Auszubildende/r",Q270&lt;&gt;"Praktikant/in"),"Mindestlohn unterschritten?; ","")&amp;IF(AND(Q270="Minijob (geringfügig)",ISNUMBER(BB270),BB270&gt;P_Minijob),"Minijob-Grenze überschritten; ","")&amp;IF(AND(R270="Ja",S270=""),"Befristung ohne Enddatum; ","")&amp;IF(AND(ISNUMBER(O270),ISNUMBER(N270),O270&lt;N270),"Austritt vor Eintritt; ","")&amp;IF(AND(ISNUMBER(AU270),ISNUMBER(AV270),AU270&lt;AV270),"Urlaub unter gesetzl. Minimum; ","")&amp;IF(AND(ISNUMBER(AC270),ISNUMBER(AF270),ABS(N(AC270)-N(AF270))&gt;0.01),"Wochenstd. weichen vom Modell ab; ","")&amp;IF(AND(AI270="Ja",OR(AJ270="",AK270="")),"Kontogrenzen fehlen; ","")&amp;IF(AND(AL270="Mit Gehalt abgegolten (Pauschale)",AM270=""),"Überstunden-Pauschale fehlt; ","")))</f>
        <v/>
      </c>
      <c r="BH270" s="38"/>
    </row>
    <row r="271" customFormat="false" ht="15" hidden="false" customHeight="false" outlineLevel="0" collapsed="false">
      <c r="A271" s="37"/>
      <c r="B271" s="38"/>
      <c r="C271" s="38"/>
      <c r="D271" s="38"/>
      <c r="E271" s="38"/>
      <c r="F271" s="39"/>
      <c r="G271" s="38"/>
      <c r="H271" s="38"/>
      <c r="I271" s="37"/>
      <c r="J271" s="38"/>
      <c r="K271" s="38"/>
      <c r="L271" s="38"/>
      <c r="M271" s="38"/>
      <c r="N271" s="39"/>
      <c r="O271" s="39"/>
      <c r="P271" s="38"/>
      <c r="Q271" s="38"/>
      <c r="R271" s="38"/>
      <c r="S271" s="39"/>
      <c r="T271" s="39"/>
      <c r="U271" s="38"/>
      <c r="V271" s="38"/>
      <c r="W271" s="37"/>
      <c r="X271" s="38"/>
      <c r="Y271" s="38"/>
      <c r="Z271" s="37"/>
      <c r="AA271" s="38"/>
      <c r="AB271" s="38"/>
      <c r="AC271" s="40"/>
      <c r="AD271" s="41"/>
      <c r="AE271" s="42" t="str">
        <f aca="false">IF(OR(A271="",NOT(ISNUMBER(AC271)),NOT(ISNUMBER(AD271))),"",IF(AD271&gt;0,AC271/AD271,""))</f>
        <v/>
      </c>
      <c r="AF271" s="42" t="str">
        <f aca="false">IF(OR(A271="",AB271=""),"",IFERROR(INDEX(Arbeitszeitmodelle!$C$5:$C$34,MATCH(AB271,Arbeitszeitmodelle!$A$5:$A$34,0)),""))</f>
        <v/>
      </c>
      <c r="AG271" s="38"/>
      <c r="AH271" s="38"/>
      <c r="AI271" s="38"/>
      <c r="AJ271" s="41"/>
      <c r="AK271" s="41"/>
      <c r="AL271" s="38"/>
      <c r="AM271" s="41"/>
      <c r="AN271" s="38"/>
      <c r="AO271" s="38"/>
      <c r="AP271" s="38"/>
      <c r="AQ271" s="38"/>
      <c r="AR271" s="41"/>
      <c r="AS271" s="40"/>
      <c r="AT271" s="39"/>
      <c r="AU271" s="41"/>
      <c r="AV271" s="43" t="str">
        <f aca="false">IF(OR(A271="",NOT(ISNUMBER(AD271))),"",P_MinUrlaubWerktage/6*AD271)</f>
        <v/>
      </c>
      <c r="AW271" s="43" t="str">
        <f aca="false">IF(A271="","",IF(M271="Ja",P_ZusatzSB*IF(ISNUMBER(AD271),AD271,5)/5,0))</f>
        <v/>
      </c>
      <c r="AX271" s="41"/>
      <c r="AY271" s="39"/>
      <c r="AZ271" s="43" t="str">
        <f aca="false">IF(OR(A271="",NOT(ISNUMBER(AU271))),"",SUM(AU271,AW271,AX271))</f>
        <v/>
      </c>
      <c r="BA271" s="38"/>
      <c r="BB271" s="44"/>
      <c r="BC271" s="44"/>
      <c r="BD271" s="45" t="str">
        <f aca="false">IF(A271="","",IF(BA271="Stundenlohn",IF(ISNUMBER(BC271),BC271,""),IF(AND(ISNUMBER(BB271),ISNUMBER(AC271)),IF(AC271&gt;0,BB271*12/(AC271*52),""),"")))</f>
        <v/>
      </c>
      <c r="BE271" s="46" t="str">
        <f aca="false">IF(OR(A271="",NOT(ISNUMBER(F271))),"",IFERROR(DATEDIF(F271,P_Stichtag,"Y"),""))</f>
        <v/>
      </c>
      <c r="BF271" s="47" t="str">
        <f aca="false">IF(OR(A271="",NOT(ISNUMBER(BE271))),"",IF(BE271&lt;18,"Ja","Nein"))</f>
        <v/>
      </c>
      <c r="BG271" s="48" t="str">
        <f aca="false">IF(A271="","",IF((IF(OR(B271="",C271="",F271="",N271="",Q271="",AB271="",AC271="",AD271="",AU271=""),"Pflichtfelder fehlen; ","")&amp;IF(AND(ISNUMBER(AC271),AC271&gt;P_MaxWoche),"Wochenstunden &gt; Prüfgrenze; ","")&amp;IF(AND(BF271="Ja",ISNUMBER(AC271),AC271&gt;P_MaxWocheJugend),"Jugendlicher &gt; 40 h/Woche; ","")&amp;IF(AND(ISNUMBER(BD271),BD271&lt;P_Mindestlohn,Q271&lt;&gt;"Auszubildende/r",Q271&lt;&gt;"Praktikant/in"),"Mindestlohn unterschritten?; ","")&amp;IF(AND(Q271="Minijob (geringfügig)",ISNUMBER(BB271),BB271&gt;P_Minijob),"Minijob-Grenze überschritten; ","")&amp;IF(AND(R271="Ja",S271=""),"Befristung ohne Enddatum; ","")&amp;IF(AND(ISNUMBER(O271),ISNUMBER(N271),O271&lt;N271),"Austritt vor Eintritt; ","")&amp;IF(AND(ISNUMBER(AU271),ISNUMBER(AV271),AU271&lt;AV271),"Urlaub unter gesetzl. Minimum; ","")&amp;IF(AND(ISNUMBER(AC271),ISNUMBER(AF271),ABS(N(AC271)-N(AF271))&gt;0.01),"Wochenstd. weichen vom Modell ab; ","")&amp;IF(AND(AI271="Ja",OR(AJ271="",AK271="")),"Kontogrenzen fehlen; ","")&amp;IF(AND(AL271="Mit Gehalt abgegolten (Pauschale)",AM271=""),"Überstunden-Pauschale fehlt; ",""))="","OK",IF(OR(B271="",C271="",F271="",N271="",Q271="",AB271="",AC271="",AD271="",AU271=""),"Pflichtfelder fehlen; ","")&amp;IF(AND(ISNUMBER(AC271),AC271&gt;P_MaxWoche),"Wochenstunden &gt; Prüfgrenze; ","")&amp;IF(AND(BF271="Ja",ISNUMBER(AC271),AC271&gt;P_MaxWocheJugend),"Jugendlicher &gt; 40 h/Woche; ","")&amp;IF(AND(ISNUMBER(BD271),BD271&lt;P_Mindestlohn,Q271&lt;&gt;"Auszubildende/r",Q271&lt;&gt;"Praktikant/in"),"Mindestlohn unterschritten?; ","")&amp;IF(AND(Q271="Minijob (geringfügig)",ISNUMBER(BB271),BB271&gt;P_Minijob),"Minijob-Grenze überschritten; ","")&amp;IF(AND(R271="Ja",S271=""),"Befristung ohne Enddatum; ","")&amp;IF(AND(ISNUMBER(O271),ISNUMBER(N271),O271&lt;N271),"Austritt vor Eintritt; ","")&amp;IF(AND(ISNUMBER(AU271),ISNUMBER(AV271),AU271&lt;AV271),"Urlaub unter gesetzl. Minimum; ","")&amp;IF(AND(ISNUMBER(AC271),ISNUMBER(AF271),ABS(N(AC271)-N(AF271))&gt;0.01),"Wochenstd. weichen vom Modell ab; ","")&amp;IF(AND(AI271="Ja",OR(AJ271="",AK271="")),"Kontogrenzen fehlen; ","")&amp;IF(AND(AL271="Mit Gehalt abgegolten (Pauschale)",AM271=""),"Überstunden-Pauschale fehlt; ","")))</f>
        <v/>
      </c>
      <c r="BH271" s="38"/>
    </row>
    <row r="272" customFormat="false" ht="15" hidden="false" customHeight="false" outlineLevel="0" collapsed="false">
      <c r="A272" s="37"/>
      <c r="B272" s="38"/>
      <c r="C272" s="38"/>
      <c r="D272" s="38"/>
      <c r="E272" s="38"/>
      <c r="F272" s="39"/>
      <c r="G272" s="38"/>
      <c r="H272" s="38"/>
      <c r="I272" s="37"/>
      <c r="J272" s="38"/>
      <c r="K272" s="38"/>
      <c r="L272" s="38"/>
      <c r="M272" s="38"/>
      <c r="N272" s="39"/>
      <c r="O272" s="39"/>
      <c r="P272" s="38"/>
      <c r="Q272" s="38"/>
      <c r="R272" s="38"/>
      <c r="S272" s="39"/>
      <c r="T272" s="39"/>
      <c r="U272" s="38"/>
      <c r="V272" s="38"/>
      <c r="W272" s="37"/>
      <c r="X272" s="38"/>
      <c r="Y272" s="38"/>
      <c r="Z272" s="37"/>
      <c r="AA272" s="38"/>
      <c r="AB272" s="38"/>
      <c r="AC272" s="40"/>
      <c r="AD272" s="41"/>
      <c r="AE272" s="42" t="str">
        <f aca="false">IF(OR(A272="",NOT(ISNUMBER(AC272)),NOT(ISNUMBER(AD272))),"",IF(AD272&gt;0,AC272/AD272,""))</f>
        <v/>
      </c>
      <c r="AF272" s="42" t="str">
        <f aca="false">IF(OR(A272="",AB272=""),"",IFERROR(INDEX(Arbeitszeitmodelle!$C$5:$C$34,MATCH(AB272,Arbeitszeitmodelle!$A$5:$A$34,0)),""))</f>
        <v/>
      </c>
      <c r="AG272" s="38"/>
      <c r="AH272" s="38"/>
      <c r="AI272" s="38"/>
      <c r="AJ272" s="41"/>
      <c r="AK272" s="41"/>
      <c r="AL272" s="38"/>
      <c r="AM272" s="41"/>
      <c r="AN272" s="38"/>
      <c r="AO272" s="38"/>
      <c r="AP272" s="38"/>
      <c r="AQ272" s="38"/>
      <c r="AR272" s="41"/>
      <c r="AS272" s="40"/>
      <c r="AT272" s="39"/>
      <c r="AU272" s="41"/>
      <c r="AV272" s="43" t="str">
        <f aca="false">IF(OR(A272="",NOT(ISNUMBER(AD272))),"",P_MinUrlaubWerktage/6*AD272)</f>
        <v/>
      </c>
      <c r="AW272" s="43" t="str">
        <f aca="false">IF(A272="","",IF(M272="Ja",P_ZusatzSB*IF(ISNUMBER(AD272),AD272,5)/5,0))</f>
        <v/>
      </c>
      <c r="AX272" s="41"/>
      <c r="AY272" s="39"/>
      <c r="AZ272" s="43" t="str">
        <f aca="false">IF(OR(A272="",NOT(ISNUMBER(AU272))),"",SUM(AU272,AW272,AX272))</f>
        <v/>
      </c>
      <c r="BA272" s="38"/>
      <c r="BB272" s="44"/>
      <c r="BC272" s="44"/>
      <c r="BD272" s="45" t="str">
        <f aca="false">IF(A272="","",IF(BA272="Stundenlohn",IF(ISNUMBER(BC272),BC272,""),IF(AND(ISNUMBER(BB272),ISNUMBER(AC272)),IF(AC272&gt;0,BB272*12/(AC272*52),""),"")))</f>
        <v/>
      </c>
      <c r="BE272" s="46" t="str">
        <f aca="false">IF(OR(A272="",NOT(ISNUMBER(F272))),"",IFERROR(DATEDIF(F272,P_Stichtag,"Y"),""))</f>
        <v/>
      </c>
      <c r="BF272" s="47" t="str">
        <f aca="false">IF(OR(A272="",NOT(ISNUMBER(BE272))),"",IF(BE272&lt;18,"Ja","Nein"))</f>
        <v/>
      </c>
      <c r="BG272" s="48" t="str">
        <f aca="false">IF(A272="","",IF((IF(OR(B272="",C272="",F272="",N272="",Q272="",AB272="",AC272="",AD272="",AU272=""),"Pflichtfelder fehlen; ","")&amp;IF(AND(ISNUMBER(AC272),AC272&gt;P_MaxWoche),"Wochenstunden &gt; Prüfgrenze; ","")&amp;IF(AND(BF272="Ja",ISNUMBER(AC272),AC272&gt;P_MaxWocheJugend),"Jugendlicher &gt; 40 h/Woche; ","")&amp;IF(AND(ISNUMBER(BD272),BD272&lt;P_Mindestlohn,Q272&lt;&gt;"Auszubildende/r",Q272&lt;&gt;"Praktikant/in"),"Mindestlohn unterschritten?; ","")&amp;IF(AND(Q272="Minijob (geringfügig)",ISNUMBER(BB272),BB272&gt;P_Minijob),"Minijob-Grenze überschritten; ","")&amp;IF(AND(R272="Ja",S272=""),"Befristung ohne Enddatum; ","")&amp;IF(AND(ISNUMBER(O272),ISNUMBER(N272),O272&lt;N272),"Austritt vor Eintritt; ","")&amp;IF(AND(ISNUMBER(AU272),ISNUMBER(AV272),AU272&lt;AV272),"Urlaub unter gesetzl. Minimum; ","")&amp;IF(AND(ISNUMBER(AC272),ISNUMBER(AF272),ABS(N(AC272)-N(AF272))&gt;0.01),"Wochenstd. weichen vom Modell ab; ","")&amp;IF(AND(AI272="Ja",OR(AJ272="",AK272="")),"Kontogrenzen fehlen; ","")&amp;IF(AND(AL272="Mit Gehalt abgegolten (Pauschale)",AM272=""),"Überstunden-Pauschale fehlt; ",""))="","OK",IF(OR(B272="",C272="",F272="",N272="",Q272="",AB272="",AC272="",AD272="",AU272=""),"Pflichtfelder fehlen; ","")&amp;IF(AND(ISNUMBER(AC272),AC272&gt;P_MaxWoche),"Wochenstunden &gt; Prüfgrenze; ","")&amp;IF(AND(BF272="Ja",ISNUMBER(AC272),AC272&gt;P_MaxWocheJugend),"Jugendlicher &gt; 40 h/Woche; ","")&amp;IF(AND(ISNUMBER(BD272),BD272&lt;P_Mindestlohn,Q272&lt;&gt;"Auszubildende/r",Q272&lt;&gt;"Praktikant/in"),"Mindestlohn unterschritten?; ","")&amp;IF(AND(Q272="Minijob (geringfügig)",ISNUMBER(BB272),BB272&gt;P_Minijob),"Minijob-Grenze überschritten; ","")&amp;IF(AND(R272="Ja",S272=""),"Befristung ohne Enddatum; ","")&amp;IF(AND(ISNUMBER(O272),ISNUMBER(N272),O272&lt;N272),"Austritt vor Eintritt; ","")&amp;IF(AND(ISNUMBER(AU272),ISNUMBER(AV272),AU272&lt;AV272),"Urlaub unter gesetzl. Minimum; ","")&amp;IF(AND(ISNUMBER(AC272),ISNUMBER(AF272),ABS(N(AC272)-N(AF272))&gt;0.01),"Wochenstd. weichen vom Modell ab; ","")&amp;IF(AND(AI272="Ja",OR(AJ272="",AK272="")),"Kontogrenzen fehlen; ","")&amp;IF(AND(AL272="Mit Gehalt abgegolten (Pauschale)",AM272=""),"Überstunden-Pauschale fehlt; ","")))</f>
        <v/>
      </c>
      <c r="BH272" s="38"/>
    </row>
    <row r="273" customFormat="false" ht="15" hidden="false" customHeight="false" outlineLevel="0" collapsed="false">
      <c r="A273" s="37"/>
      <c r="B273" s="38"/>
      <c r="C273" s="38"/>
      <c r="D273" s="38"/>
      <c r="E273" s="38"/>
      <c r="F273" s="39"/>
      <c r="G273" s="38"/>
      <c r="H273" s="38"/>
      <c r="I273" s="37"/>
      <c r="J273" s="38"/>
      <c r="K273" s="38"/>
      <c r="L273" s="38"/>
      <c r="M273" s="38"/>
      <c r="N273" s="39"/>
      <c r="O273" s="39"/>
      <c r="P273" s="38"/>
      <c r="Q273" s="38"/>
      <c r="R273" s="38"/>
      <c r="S273" s="39"/>
      <c r="T273" s="39"/>
      <c r="U273" s="38"/>
      <c r="V273" s="38"/>
      <c r="W273" s="37"/>
      <c r="X273" s="38"/>
      <c r="Y273" s="38"/>
      <c r="Z273" s="37"/>
      <c r="AA273" s="38"/>
      <c r="AB273" s="38"/>
      <c r="AC273" s="40"/>
      <c r="AD273" s="41"/>
      <c r="AE273" s="42" t="str">
        <f aca="false">IF(OR(A273="",NOT(ISNUMBER(AC273)),NOT(ISNUMBER(AD273))),"",IF(AD273&gt;0,AC273/AD273,""))</f>
        <v/>
      </c>
      <c r="AF273" s="42" t="str">
        <f aca="false">IF(OR(A273="",AB273=""),"",IFERROR(INDEX(Arbeitszeitmodelle!$C$5:$C$34,MATCH(AB273,Arbeitszeitmodelle!$A$5:$A$34,0)),""))</f>
        <v/>
      </c>
      <c r="AG273" s="38"/>
      <c r="AH273" s="38"/>
      <c r="AI273" s="38"/>
      <c r="AJ273" s="41"/>
      <c r="AK273" s="41"/>
      <c r="AL273" s="38"/>
      <c r="AM273" s="41"/>
      <c r="AN273" s="38"/>
      <c r="AO273" s="38"/>
      <c r="AP273" s="38"/>
      <c r="AQ273" s="38"/>
      <c r="AR273" s="41"/>
      <c r="AS273" s="40"/>
      <c r="AT273" s="39"/>
      <c r="AU273" s="41"/>
      <c r="AV273" s="43" t="str">
        <f aca="false">IF(OR(A273="",NOT(ISNUMBER(AD273))),"",P_MinUrlaubWerktage/6*AD273)</f>
        <v/>
      </c>
      <c r="AW273" s="43" t="str">
        <f aca="false">IF(A273="","",IF(M273="Ja",P_ZusatzSB*IF(ISNUMBER(AD273),AD273,5)/5,0))</f>
        <v/>
      </c>
      <c r="AX273" s="41"/>
      <c r="AY273" s="39"/>
      <c r="AZ273" s="43" t="str">
        <f aca="false">IF(OR(A273="",NOT(ISNUMBER(AU273))),"",SUM(AU273,AW273,AX273))</f>
        <v/>
      </c>
      <c r="BA273" s="38"/>
      <c r="BB273" s="44"/>
      <c r="BC273" s="44"/>
      <c r="BD273" s="45" t="str">
        <f aca="false">IF(A273="","",IF(BA273="Stundenlohn",IF(ISNUMBER(BC273),BC273,""),IF(AND(ISNUMBER(BB273),ISNUMBER(AC273)),IF(AC273&gt;0,BB273*12/(AC273*52),""),"")))</f>
        <v/>
      </c>
      <c r="BE273" s="46" t="str">
        <f aca="false">IF(OR(A273="",NOT(ISNUMBER(F273))),"",IFERROR(DATEDIF(F273,P_Stichtag,"Y"),""))</f>
        <v/>
      </c>
      <c r="BF273" s="47" t="str">
        <f aca="false">IF(OR(A273="",NOT(ISNUMBER(BE273))),"",IF(BE273&lt;18,"Ja","Nein"))</f>
        <v/>
      </c>
      <c r="BG273" s="48" t="str">
        <f aca="false">IF(A273="","",IF((IF(OR(B273="",C273="",F273="",N273="",Q273="",AB273="",AC273="",AD273="",AU273=""),"Pflichtfelder fehlen; ","")&amp;IF(AND(ISNUMBER(AC273),AC273&gt;P_MaxWoche),"Wochenstunden &gt; Prüfgrenze; ","")&amp;IF(AND(BF273="Ja",ISNUMBER(AC273),AC273&gt;P_MaxWocheJugend),"Jugendlicher &gt; 40 h/Woche; ","")&amp;IF(AND(ISNUMBER(BD273),BD273&lt;P_Mindestlohn,Q273&lt;&gt;"Auszubildende/r",Q273&lt;&gt;"Praktikant/in"),"Mindestlohn unterschritten?; ","")&amp;IF(AND(Q273="Minijob (geringfügig)",ISNUMBER(BB273),BB273&gt;P_Minijob),"Minijob-Grenze überschritten; ","")&amp;IF(AND(R273="Ja",S273=""),"Befristung ohne Enddatum; ","")&amp;IF(AND(ISNUMBER(O273),ISNUMBER(N273),O273&lt;N273),"Austritt vor Eintritt; ","")&amp;IF(AND(ISNUMBER(AU273),ISNUMBER(AV273),AU273&lt;AV273),"Urlaub unter gesetzl. Minimum; ","")&amp;IF(AND(ISNUMBER(AC273),ISNUMBER(AF273),ABS(N(AC273)-N(AF273))&gt;0.01),"Wochenstd. weichen vom Modell ab; ","")&amp;IF(AND(AI273="Ja",OR(AJ273="",AK273="")),"Kontogrenzen fehlen; ","")&amp;IF(AND(AL273="Mit Gehalt abgegolten (Pauschale)",AM273=""),"Überstunden-Pauschale fehlt; ",""))="","OK",IF(OR(B273="",C273="",F273="",N273="",Q273="",AB273="",AC273="",AD273="",AU273=""),"Pflichtfelder fehlen; ","")&amp;IF(AND(ISNUMBER(AC273),AC273&gt;P_MaxWoche),"Wochenstunden &gt; Prüfgrenze; ","")&amp;IF(AND(BF273="Ja",ISNUMBER(AC273),AC273&gt;P_MaxWocheJugend),"Jugendlicher &gt; 40 h/Woche; ","")&amp;IF(AND(ISNUMBER(BD273),BD273&lt;P_Mindestlohn,Q273&lt;&gt;"Auszubildende/r",Q273&lt;&gt;"Praktikant/in"),"Mindestlohn unterschritten?; ","")&amp;IF(AND(Q273="Minijob (geringfügig)",ISNUMBER(BB273),BB273&gt;P_Minijob),"Minijob-Grenze überschritten; ","")&amp;IF(AND(R273="Ja",S273=""),"Befristung ohne Enddatum; ","")&amp;IF(AND(ISNUMBER(O273),ISNUMBER(N273),O273&lt;N273),"Austritt vor Eintritt; ","")&amp;IF(AND(ISNUMBER(AU273),ISNUMBER(AV273),AU273&lt;AV273),"Urlaub unter gesetzl. Minimum; ","")&amp;IF(AND(ISNUMBER(AC273),ISNUMBER(AF273),ABS(N(AC273)-N(AF273))&gt;0.01),"Wochenstd. weichen vom Modell ab; ","")&amp;IF(AND(AI273="Ja",OR(AJ273="",AK273="")),"Kontogrenzen fehlen; ","")&amp;IF(AND(AL273="Mit Gehalt abgegolten (Pauschale)",AM273=""),"Überstunden-Pauschale fehlt; ","")))</f>
        <v/>
      </c>
      <c r="BH273" s="38"/>
    </row>
    <row r="274" customFormat="false" ht="15" hidden="false" customHeight="false" outlineLevel="0" collapsed="false">
      <c r="A274" s="37"/>
      <c r="B274" s="38"/>
      <c r="C274" s="38"/>
      <c r="D274" s="38"/>
      <c r="E274" s="38"/>
      <c r="F274" s="39"/>
      <c r="G274" s="38"/>
      <c r="H274" s="38"/>
      <c r="I274" s="37"/>
      <c r="J274" s="38"/>
      <c r="K274" s="38"/>
      <c r="L274" s="38"/>
      <c r="M274" s="38"/>
      <c r="N274" s="39"/>
      <c r="O274" s="39"/>
      <c r="P274" s="38"/>
      <c r="Q274" s="38"/>
      <c r="R274" s="38"/>
      <c r="S274" s="39"/>
      <c r="T274" s="39"/>
      <c r="U274" s="38"/>
      <c r="V274" s="38"/>
      <c r="W274" s="37"/>
      <c r="X274" s="38"/>
      <c r="Y274" s="38"/>
      <c r="Z274" s="37"/>
      <c r="AA274" s="38"/>
      <c r="AB274" s="38"/>
      <c r="AC274" s="40"/>
      <c r="AD274" s="41"/>
      <c r="AE274" s="42" t="str">
        <f aca="false">IF(OR(A274="",NOT(ISNUMBER(AC274)),NOT(ISNUMBER(AD274))),"",IF(AD274&gt;0,AC274/AD274,""))</f>
        <v/>
      </c>
      <c r="AF274" s="42" t="str">
        <f aca="false">IF(OR(A274="",AB274=""),"",IFERROR(INDEX(Arbeitszeitmodelle!$C$5:$C$34,MATCH(AB274,Arbeitszeitmodelle!$A$5:$A$34,0)),""))</f>
        <v/>
      </c>
      <c r="AG274" s="38"/>
      <c r="AH274" s="38"/>
      <c r="AI274" s="38"/>
      <c r="AJ274" s="41"/>
      <c r="AK274" s="41"/>
      <c r="AL274" s="38"/>
      <c r="AM274" s="41"/>
      <c r="AN274" s="38"/>
      <c r="AO274" s="38"/>
      <c r="AP274" s="38"/>
      <c r="AQ274" s="38"/>
      <c r="AR274" s="41"/>
      <c r="AS274" s="40"/>
      <c r="AT274" s="39"/>
      <c r="AU274" s="41"/>
      <c r="AV274" s="43" t="str">
        <f aca="false">IF(OR(A274="",NOT(ISNUMBER(AD274))),"",P_MinUrlaubWerktage/6*AD274)</f>
        <v/>
      </c>
      <c r="AW274" s="43" t="str">
        <f aca="false">IF(A274="","",IF(M274="Ja",P_ZusatzSB*IF(ISNUMBER(AD274),AD274,5)/5,0))</f>
        <v/>
      </c>
      <c r="AX274" s="41"/>
      <c r="AY274" s="39"/>
      <c r="AZ274" s="43" t="str">
        <f aca="false">IF(OR(A274="",NOT(ISNUMBER(AU274))),"",SUM(AU274,AW274,AX274))</f>
        <v/>
      </c>
      <c r="BA274" s="38"/>
      <c r="BB274" s="44"/>
      <c r="BC274" s="44"/>
      <c r="BD274" s="45" t="str">
        <f aca="false">IF(A274="","",IF(BA274="Stundenlohn",IF(ISNUMBER(BC274),BC274,""),IF(AND(ISNUMBER(BB274),ISNUMBER(AC274)),IF(AC274&gt;0,BB274*12/(AC274*52),""),"")))</f>
        <v/>
      </c>
      <c r="BE274" s="46" t="str">
        <f aca="false">IF(OR(A274="",NOT(ISNUMBER(F274))),"",IFERROR(DATEDIF(F274,P_Stichtag,"Y"),""))</f>
        <v/>
      </c>
      <c r="BF274" s="47" t="str">
        <f aca="false">IF(OR(A274="",NOT(ISNUMBER(BE274))),"",IF(BE274&lt;18,"Ja","Nein"))</f>
        <v/>
      </c>
      <c r="BG274" s="48" t="str">
        <f aca="false">IF(A274="","",IF((IF(OR(B274="",C274="",F274="",N274="",Q274="",AB274="",AC274="",AD274="",AU274=""),"Pflichtfelder fehlen; ","")&amp;IF(AND(ISNUMBER(AC274),AC274&gt;P_MaxWoche),"Wochenstunden &gt; Prüfgrenze; ","")&amp;IF(AND(BF274="Ja",ISNUMBER(AC274),AC274&gt;P_MaxWocheJugend),"Jugendlicher &gt; 40 h/Woche; ","")&amp;IF(AND(ISNUMBER(BD274),BD274&lt;P_Mindestlohn,Q274&lt;&gt;"Auszubildende/r",Q274&lt;&gt;"Praktikant/in"),"Mindestlohn unterschritten?; ","")&amp;IF(AND(Q274="Minijob (geringfügig)",ISNUMBER(BB274),BB274&gt;P_Minijob),"Minijob-Grenze überschritten; ","")&amp;IF(AND(R274="Ja",S274=""),"Befristung ohne Enddatum; ","")&amp;IF(AND(ISNUMBER(O274),ISNUMBER(N274),O274&lt;N274),"Austritt vor Eintritt; ","")&amp;IF(AND(ISNUMBER(AU274),ISNUMBER(AV274),AU274&lt;AV274),"Urlaub unter gesetzl. Minimum; ","")&amp;IF(AND(ISNUMBER(AC274),ISNUMBER(AF274),ABS(N(AC274)-N(AF274))&gt;0.01),"Wochenstd. weichen vom Modell ab; ","")&amp;IF(AND(AI274="Ja",OR(AJ274="",AK274="")),"Kontogrenzen fehlen; ","")&amp;IF(AND(AL274="Mit Gehalt abgegolten (Pauschale)",AM274=""),"Überstunden-Pauschale fehlt; ",""))="","OK",IF(OR(B274="",C274="",F274="",N274="",Q274="",AB274="",AC274="",AD274="",AU274=""),"Pflichtfelder fehlen; ","")&amp;IF(AND(ISNUMBER(AC274),AC274&gt;P_MaxWoche),"Wochenstunden &gt; Prüfgrenze; ","")&amp;IF(AND(BF274="Ja",ISNUMBER(AC274),AC274&gt;P_MaxWocheJugend),"Jugendlicher &gt; 40 h/Woche; ","")&amp;IF(AND(ISNUMBER(BD274),BD274&lt;P_Mindestlohn,Q274&lt;&gt;"Auszubildende/r",Q274&lt;&gt;"Praktikant/in"),"Mindestlohn unterschritten?; ","")&amp;IF(AND(Q274="Minijob (geringfügig)",ISNUMBER(BB274),BB274&gt;P_Minijob),"Minijob-Grenze überschritten; ","")&amp;IF(AND(R274="Ja",S274=""),"Befristung ohne Enddatum; ","")&amp;IF(AND(ISNUMBER(O274),ISNUMBER(N274),O274&lt;N274),"Austritt vor Eintritt; ","")&amp;IF(AND(ISNUMBER(AU274),ISNUMBER(AV274),AU274&lt;AV274),"Urlaub unter gesetzl. Minimum; ","")&amp;IF(AND(ISNUMBER(AC274),ISNUMBER(AF274),ABS(N(AC274)-N(AF274))&gt;0.01),"Wochenstd. weichen vom Modell ab; ","")&amp;IF(AND(AI274="Ja",OR(AJ274="",AK274="")),"Kontogrenzen fehlen; ","")&amp;IF(AND(AL274="Mit Gehalt abgegolten (Pauschale)",AM274=""),"Überstunden-Pauschale fehlt; ","")))</f>
        <v/>
      </c>
      <c r="BH274" s="38"/>
    </row>
    <row r="275" customFormat="false" ht="15" hidden="false" customHeight="false" outlineLevel="0" collapsed="false">
      <c r="A275" s="37"/>
      <c r="B275" s="38"/>
      <c r="C275" s="38"/>
      <c r="D275" s="38"/>
      <c r="E275" s="38"/>
      <c r="F275" s="39"/>
      <c r="G275" s="38"/>
      <c r="H275" s="38"/>
      <c r="I275" s="37"/>
      <c r="J275" s="38"/>
      <c r="K275" s="38"/>
      <c r="L275" s="38"/>
      <c r="M275" s="38"/>
      <c r="N275" s="39"/>
      <c r="O275" s="39"/>
      <c r="P275" s="38"/>
      <c r="Q275" s="38"/>
      <c r="R275" s="38"/>
      <c r="S275" s="39"/>
      <c r="T275" s="39"/>
      <c r="U275" s="38"/>
      <c r="V275" s="38"/>
      <c r="W275" s="37"/>
      <c r="X275" s="38"/>
      <c r="Y275" s="38"/>
      <c r="Z275" s="37"/>
      <c r="AA275" s="38"/>
      <c r="AB275" s="38"/>
      <c r="AC275" s="40"/>
      <c r="AD275" s="41"/>
      <c r="AE275" s="42" t="str">
        <f aca="false">IF(OR(A275="",NOT(ISNUMBER(AC275)),NOT(ISNUMBER(AD275))),"",IF(AD275&gt;0,AC275/AD275,""))</f>
        <v/>
      </c>
      <c r="AF275" s="42" t="str">
        <f aca="false">IF(OR(A275="",AB275=""),"",IFERROR(INDEX(Arbeitszeitmodelle!$C$5:$C$34,MATCH(AB275,Arbeitszeitmodelle!$A$5:$A$34,0)),""))</f>
        <v/>
      </c>
      <c r="AG275" s="38"/>
      <c r="AH275" s="38"/>
      <c r="AI275" s="38"/>
      <c r="AJ275" s="41"/>
      <c r="AK275" s="41"/>
      <c r="AL275" s="38"/>
      <c r="AM275" s="41"/>
      <c r="AN275" s="38"/>
      <c r="AO275" s="38"/>
      <c r="AP275" s="38"/>
      <c r="AQ275" s="38"/>
      <c r="AR275" s="41"/>
      <c r="AS275" s="40"/>
      <c r="AT275" s="39"/>
      <c r="AU275" s="41"/>
      <c r="AV275" s="43" t="str">
        <f aca="false">IF(OR(A275="",NOT(ISNUMBER(AD275))),"",P_MinUrlaubWerktage/6*AD275)</f>
        <v/>
      </c>
      <c r="AW275" s="43" t="str">
        <f aca="false">IF(A275="","",IF(M275="Ja",P_ZusatzSB*IF(ISNUMBER(AD275),AD275,5)/5,0))</f>
        <v/>
      </c>
      <c r="AX275" s="41"/>
      <c r="AY275" s="39"/>
      <c r="AZ275" s="43" t="str">
        <f aca="false">IF(OR(A275="",NOT(ISNUMBER(AU275))),"",SUM(AU275,AW275,AX275))</f>
        <v/>
      </c>
      <c r="BA275" s="38"/>
      <c r="BB275" s="44"/>
      <c r="BC275" s="44"/>
      <c r="BD275" s="45" t="str">
        <f aca="false">IF(A275="","",IF(BA275="Stundenlohn",IF(ISNUMBER(BC275),BC275,""),IF(AND(ISNUMBER(BB275),ISNUMBER(AC275)),IF(AC275&gt;0,BB275*12/(AC275*52),""),"")))</f>
        <v/>
      </c>
      <c r="BE275" s="46" t="str">
        <f aca="false">IF(OR(A275="",NOT(ISNUMBER(F275))),"",IFERROR(DATEDIF(F275,P_Stichtag,"Y"),""))</f>
        <v/>
      </c>
      <c r="BF275" s="47" t="str">
        <f aca="false">IF(OR(A275="",NOT(ISNUMBER(BE275))),"",IF(BE275&lt;18,"Ja","Nein"))</f>
        <v/>
      </c>
      <c r="BG275" s="48" t="str">
        <f aca="false">IF(A275="","",IF((IF(OR(B275="",C275="",F275="",N275="",Q275="",AB275="",AC275="",AD275="",AU275=""),"Pflichtfelder fehlen; ","")&amp;IF(AND(ISNUMBER(AC275),AC275&gt;P_MaxWoche),"Wochenstunden &gt; Prüfgrenze; ","")&amp;IF(AND(BF275="Ja",ISNUMBER(AC275),AC275&gt;P_MaxWocheJugend),"Jugendlicher &gt; 40 h/Woche; ","")&amp;IF(AND(ISNUMBER(BD275),BD275&lt;P_Mindestlohn,Q275&lt;&gt;"Auszubildende/r",Q275&lt;&gt;"Praktikant/in"),"Mindestlohn unterschritten?; ","")&amp;IF(AND(Q275="Minijob (geringfügig)",ISNUMBER(BB275),BB275&gt;P_Minijob),"Minijob-Grenze überschritten; ","")&amp;IF(AND(R275="Ja",S275=""),"Befristung ohne Enddatum; ","")&amp;IF(AND(ISNUMBER(O275),ISNUMBER(N275),O275&lt;N275),"Austritt vor Eintritt; ","")&amp;IF(AND(ISNUMBER(AU275),ISNUMBER(AV275),AU275&lt;AV275),"Urlaub unter gesetzl. Minimum; ","")&amp;IF(AND(ISNUMBER(AC275),ISNUMBER(AF275),ABS(N(AC275)-N(AF275))&gt;0.01),"Wochenstd. weichen vom Modell ab; ","")&amp;IF(AND(AI275="Ja",OR(AJ275="",AK275="")),"Kontogrenzen fehlen; ","")&amp;IF(AND(AL275="Mit Gehalt abgegolten (Pauschale)",AM275=""),"Überstunden-Pauschale fehlt; ",""))="","OK",IF(OR(B275="",C275="",F275="",N275="",Q275="",AB275="",AC275="",AD275="",AU275=""),"Pflichtfelder fehlen; ","")&amp;IF(AND(ISNUMBER(AC275),AC275&gt;P_MaxWoche),"Wochenstunden &gt; Prüfgrenze; ","")&amp;IF(AND(BF275="Ja",ISNUMBER(AC275),AC275&gt;P_MaxWocheJugend),"Jugendlicher &gt; 40 h/Woche; ","")&amp;IF(AND(ISNUMBER(BD275),BD275&lt;P_Mindestlohn,Q275&lt;&gt;"Auszubildende/r",Q275&lt;&gt;"Praktikant/in"),"Mindestlohn unterschritten?; ","")&amp;IF(AND(Q275="Minijob (geringfügig)",ISNUMBER(BB275),BB275&gt;P_Minijob),"Minijob-Grenze überschritten; ","")&amp;IF(AND(R275="Ja",S275=""),"Befristung ohne Enddatum; ","")&amp;IF(AND(ISNUMBER(O275),ISNUMBER(N275),O275&lt;N275),"Austritt vor Eintritt; ","")&amp;IF(AND(ISNUMBER(AU275),ISNUMBER(AV275),AU275&lt;AV275),"Urlaub unter gesetzl. Minimum; ","")&amp;IF(AND(ISNUMBER(AC275),ISNUMBER(AF275),ABS(N(AC275)-N(AF275))&gt;0.01),"Wochenstd. weichen vom Modell ab; ","")&amp;IF(AND(AI275="Ja",OR(AJ275="",AK275="")),"Kontogrenzen fehlen; ","")&amp;IF(AND(AL275="Mit Gehalt abgegolten (Pauschale)",AM275=""),"Überstunden-Pauschale fehlt; ","")))</f>
        <v/>
      </c>
      <c r="BH275" s="38"/>
    </row>
    <row r="276" customFormat="false" ht="15" hidden="false" customHeight="false" outlineLevel="0" collapsed="false">
      <c r="A276" s="37"/>
      <c r="B276" s="38"/>
      <c r="C276" s="38"/>
      <c r="D276" s="38"/>
      <c r="E276" s="38"/>
      <c r="F276" s="39"/>
      <c r="G276" s="38"/>
      <c r="H276" s="38"/>
      <c r="I276" s="37"/>
      <c r="J276" s="38"/>
      <c r="K276" s="38"/>
      <c r="L276" s="38"/>
      <c r="M276" s="38"/>
      <c r="N276" s="39"/>
      <c r="O276" s="39"/>
      <c r="P276" s="38"/>
      <c r="Q276" s="38"/>
      <c r="R276" s="38"/>
      <c r="S276" s="39"/>
      <c r="T276" s="39"/>
      <c r="U276" s="38"/>
      <c r="V276" s="38"/>
      <c r="W276" s="37"/>
      <c r="X276" s="38"/>
      <c r="Y276" s="38"/>
      <c r="Z276" s="37"/>
      <c r="AA276" s="38"/>
      <c r="AB276" s="38"/>
      <c r="AC276" s="40"/>
      <c r="AD276" s="41"/>
      <c r="AE276" s="42" t="str">
        <f aca="false">IF(OR(A276="",NOT(ISNUMBER(AC276)),NOT(ISNUMBER(AD276))),"",IF(AD276&gt;0,AC276/AD276,""))</f>
        <v/>
      </c>
      <c r="AF276" s="42" t="str">
        <f aca="false">IF(OR(A276="",AB276=""),"",IFERROR(INDEX(Arbeitszeitmodelle!$C$5:$C$34,MATCH(AB276,Arbeitszeitmodelle!$A$5:$A$34,0)),""))</f>
        <v/>
      </c>
      <c r="AG276" s="38"/>
      <c r="AH276" s="38"/>
      <c r="AI276" s="38"/>
      <c r="AJ276" s="41"/>
      <c r="AK276" s="41"/>
      <c r="AL276" s="38"/>
      <c r="AM276" s="41"/>
      <c r="AN276" s="38"/>
      <c r="AO276" s="38"/>
      <c r="AP276" s="38"/>
      <c r="AQ276" s="38"/>
      <c r="AR276" s="41"/>
      <c r="AS276" s="40"/>
      <c r="AT276" s="39"/>
      <c r="AU276" s="41"/>
      <c r="AV276" s="43" t="str">
        <f aca="false">IF(OR(A276="",NOT(ISNUMBER(AD276))),"",P_MinUrlaubWerktage/6*AD276)</f>
        <v/>
      </c>
      <c r="AW276" s="43" t="str">
        <f aca="false">IF(A276="","",IF(M276="Ja",P_ZusatzSB*IF(ISNUMBER(AD276),AD276,5)/5,0))</f>
        <v/>
      </c>
      <c r="AX276" s="41"/>
      <c r="AY276" s="39"/>
      <c r="AZ276" s="43" t="str">
        <f aca="false">IF(OR(A276="",NOT(ISNUMBER(AU276))),"",SUM(AU276,AW276,AX276))</f>
        <v/>
      </c>
      <c r="BA276" s="38"/>
      <c r="BB276" s="44"/>
      <c r="BC276" s="44"/>
      <c r="BD276" s="45" t="str">
        <f aca="false">IF(A276="","",IF(BA276="Stundenlohn",IF(ISNUMBER(BC276),BC276,""),IF(AND(ISNUMBER(BB276),ISNUMBER(AC276)),IF(AC276&gt;0,BB276*12/(AC276*52),""),"")))</f>
        <v/>
      </c>
      <c r="BE276" s="46" t="str">
        <f aca="false">IF(OR(A276="",NOT(ISNUMBER(F276))),"",IFERROR(DATEDIF(F276,P_Stichtag,"Y"),""))</f>
        <v/>
      </c>
      <c r="BF276" s="47" t="str">
        <f aca="false">IF(OR(A276="",NOT(ISNUMBER(BE276))),"",IF(BE276&lt;18,"Ja","Nein"))</f>
        <v/>
      </c>
      <c r="BG276" s="48" t="str">
        <f aca="false">IF(A276="","",IF((IF(OR(B276="",C276="",F276="",N276="",Q276="",AB276="",AC276="",AD276="",AU276=""),"Pflichtfelder fehlen; ","")&amp;IF(AND(ISNUMBER(AC276),AC276&gt;P_MaxWoche),"Wochenstunden &gt; Prüfgrenze; ","")&amp;IF(AND(BF276="Ja",ISNUMBER(AC276),AC276&gt;P_MaxWocheJugend),"Jugendlicher &gt; 40 h/Woche; ","")&amp;IF(AND(ISNUMBER(BD276),BD276&lt;P_Mindestlohn,Q276&lt;&gt;"Auszubildende/r",Q276&lt;&gt;"Praktikant/in"),"Mindestlohn unterschritten?; ","")&amp;IF(AND(Q276="Minijob (geringfügig)",ISNUMBER(BB276),BB276&gt;P_Minijob),"Minijob-Grenze überschritten; ","")&amp;IF(AND(R276="Ja",S276=""),"Befristung ohne Enddatum; ","")&amp;IF(AND(ISNUMBER(O276),ISNUMBER(N276),O276&lt;N276),"Austritt vor Eintritt; ","")&amp;IF(AND(ISNUMBER(AU276),ISNUMBER(AV276),AU276&lt;AV276),"Urlaub unter gesetzl. Minimum; ","")&amp;IF(AND(ISNUMBER(AC276),ISNUMBER(AF276),ABS(N(AC276)-N(AF276))&gt;0.01),"Wochenstd. weichen vom Modell ab; ","")&amp;IF(AND(AI276="Ja",OR(AJ276="",AK276="")),"Kontogrenzen fehlen; ","")&amp;IF(AND(AL276="Mit Gehalt abgegolten (Pauschale)",AM276=""),"Überstunden-Pauschale fehlt; ",""))="","OK",IF(OR(B276="",C276="",F276="",N276="",Q276="",AB276="",AC276="",AD276="",AU276=""),"Pflichtfelder fehlen; ","")&amp;IF(AND(ISNUMBER(AC276),AC276&gt;P_MaxWoche),"Wochenstunden &gt; Prüfgrenze; ","")&amp;IF(AND(BF276="Ja",ISNUMBER(AC276),AC276&gt;P_MaxWocheJugend),"Jugendlicher &gt; 40 h/Woche; ","")&amp;IF(AND(ISNUMBER(BD276),BD276&lt;P_Mindestlohn,Q276&lt;&gt;"Auszubildende/r",Q276&lt;&gt;"Praktikant/in"),"Mindestlohn unterschritten?; ","")&amp;IF(AND(Q276="Minijob (geringfügig)",ISNUMBER(BB276),BB276&gt;P_Minijob),"Minijob-Grenze überschritten; ","")&amp;IF(AND(R276="Ja",S276=""),"Befristung ohne Enddatum; ","")&amp;IF(AND(ISNUMBER(O276),ISNUMBER(N276),O276&lt;N276),"Austritt vor Eintritt; ","")&amp;IF(AND(ISNUMBER(AU276),ISNUMBER(AV276),AU276&lt;AV276),"Urlaub unter gesetzl. Minimum; ","")&amp;IF(AND(ISNUMBER(AC276),ISNUMBER(AF276),ABS(N(AC276)-N(AF276))&gt;0.01),"Wochenstd. weichen vom Modell ab; ","")&amp;IF(AND(AI276="Ja",OR(AJ276="",AK276="")),"Kontogrenzen fehlen; ","")&amp;IF(AND(AL276="Mit Gehalt abgegolten (Pauschale)",AM276=""),"Überstunden-Pauschale fehlt; ","")))</f>
        <v/>
      </c>
      <c r="BH276" s="38"/>
    </row>
    <row r="277" customFormat="false" ht="15" hidden="false" customHeight="false" outlineLevel="0" collapsed="false">
      <c r="A277" s="37"/>
      <c r="B277" s="38"/>
      <c r="C277" s="38"/>
      <c r="D277" s="38"/>
      <c r="E277" s="38"/>
      <c r="F277" s="39"/>
      <c r="G277" s="38"/>
      <c r="H277" s="38"/>
      <c r="I277" s="37"/>
      <c r="J277" s="38"/>
      <c r="K277" s="38"/>
      <c r="L277" s="38"/>
      <c r="M277" s="38"/>
      <c r="N277" s="39"/>
      <c r="O277" s="39"/>
      <c r="P277" s="38"/>
      <c r="Q277" s="38"/>
      <c r="R277" s="38"/>
      <c r="S277" s="39"/>
      <c r="T277" s="39"/>
      <c r="U277" s="38"/>
      <c r="V277" s="38"/>
      <c r="W277" s="37"/>
      <c r="X277" s="38"/>
      <c r="Y277" s="38"/>
      <c r="Z277" s="37"/>
      <c r="AA277" s="38"/>
      <c r="AB277" s="38"/>
      <c r="AC277" s="40"/>
      <c r="AD277" s="41"/>
      <c r="AE277" s="42" t="str">
        <f aca="false">IF(OR(A277="",NOT(ISNUMBER(AC277)),NOT(ISNUMBER(AD277))),"",IF(AD277&gt;0,AC277/AD277,""))</f>
        <v/>
      </c>
      <c r="AF277" s="42" t="str">
        <f aca="false">IF(OR(A277="",AB277=""),"",IFERROR(INDEX(Arbeitszeitmodelle!$C$5:$C$34,MATCH(AB277,Arbeitszeitmodelle!$A$5:$A$34,0)),""))</f>
        <v/>
      </c>
      <c r="AG277" s="38"/>
      <c r="AH277" s="38"/>
      <c r="AI277" s="38"/>
      <c r="AJ277" s="41"/>
      <c r="AK277" s="41"/>
      <c r="AL277" s="38"/>
      <c r="AM277" s="41"/>
      <c r="AN277" s="38"/>
      <c r="AO277" s="38"/>
      <c r="AP277" s="38"/>
      <c r="AQ277" s="38"/>
      <c r="AR277" s="41"/>
      <c r="AS277" s="40"/>
      <c r="AT277" s="39"/>
      <c r="AU277" s="41"/>
      <c r="AV277" s="43" t="str">
        <f aca="false">IF(OR(A277="",NOT(ISNUMBER(AD277))),"",P_MinUrlaubWerktage/6*AD277)</f>
        <v/>
      </c>
      <c r="AW277" s="43" t="str">
        <f aca="false">IF(A277="","",IF(M277="Ja",P_ZusatzSB*IF(ISNUMBER(AD277),AD277,5)/5,0))</f>
        <v/>
      </c>
      <c r="AX277" s="41"/>
      <c r="AY277" s="39"/>
      <c r="AZ277" s="43" t="str">
        <f aca="false">IF(OR(A277="",NOT(ISNUMBER(AU277))),"",SUM(AU277,AW277,AX277))</f>
        <v/>
      </c>
      <c r="BA277" s="38"/>
      <c r="BB277" s="44"/>
      <c r="BC277" s="44"/>
      <c r="BD277" s="45" t="str">
        <f aca="false">IF(A277="","",IF(BA277="Stundenlohn",IF(ISNUMBER(BC277),BC277,""),IF(AND(ISNUMBER(BB277),ISNUMBER(AC277)),IF(AC277&gt;0,BB277*12/(AC277*52),""),"")))</f>
        <v/>
      </c>
      <c r="BE277" s="46" t="str">
        <f aca="false">IF(OR(A277="",NOT(ISNUMBER(F277))),"",IFERROR(DATEDIF(F277,P_Stichtag,"Y"),""))</f>
        <v/>
      </c>
      <c r="BF277" s="47" t="str">
        <f aca="false">IF(OR(A277="",NOT(ISNUMBER(BE277))),"",IF(BE277&lt;18,"Ja","Nein"))</f>
        <v/>
      </c>
      <c r="BG277" s="48" t="str">
        <f aca="false">IF(A277="","",IF((IF(OR(B277="",C277="",F277="",N277="",Q277="",AB277="",AC277="",AD277="",AU277=""),"Pflichtfelder fehlen; ","")&amp;IF(AND(ISNUMBER(AC277),AC277&gt;P_MaxWoche),"Wochenstunden &gt; Prüfgrenze; ","")&amp;IF(AND(BF277="Ja",ISNUMBER(AC277),AC277&gt;P_MaxWocheJugend),"Jugendlicher &gt; 40 h/Woche; ","")&amp;IF(AND(ISNUMBER(BD277),BD277&lt;P_Mindestlohn,Q277&lt;&gt;"Auszubildende/r",Q277&lt;&gt;"Praktikant/in"),"Mindestlohn unterschritten?; ","")&amp;IF(AND(Q277="Minijob (geringfügig)",ISNUMBER(BB277),BB277&gt;P_Minijob),"Minijob-Grenze überschritten; ","")&amp;IF(AND(R277="Ja",S277=""),"Befristung ohne Enddatum; ","")&amp;IF(AND(ISNUMBER(O277),ISNUMBER(N277),O277&lt;N277),"Austritt vor Eintritt; ","")&amp;IF(AND(ISNUMBER(AU277),ISNUMBER(AV277),AU277&lt;AV277),"Urlaub unter gesetzl. Minimum; ","")&amp;IF(AND(ISNUMBER(AC277),ISNUMBER(AF277),ABS(N(AC277)-N(AF277))&gt;0.01),"Wochenstd. weichen vom Modell ab; ","")&amp;IF(AND(AI277="Ja",OR(AJ277="",AK277="")),"Kontogrenzen fehlen; ","")&amp;IF(AND(AL277="Mit Gehalt abgegolten (Pauschale)",AM277=""),"Überstunden-Pauschale fehlt; ",""))="","OK",IF(OR(B277="",C277="",F277="",N277="",Q277="",AB277="",AC277="",AD277="",AU277=""),"Pflichtfelder fehlen; ","")&amp;IF(AND(ISNUMBER(AC277),AC277&gt;P_MaxWoche),"Wochenstunden &gt; Prüfgrenze; ","")&amp;IF(AND(BF277="Ja",ISNUMBER(AC277),AC277&gt;P_MaxWocheJugend),"Jugendlicher &gt; 40 h/Woche; ","")&amp;IF(AND(ISNUMBER(BD277),BD277&lt;P_Mindestlohn,Q277&lt;&gt;"Auszubildende/r",Q277&lt;&gt;"Praktikant/in"),"Mindestlohn unterschritten?; ","")&amp;IF(AND(Q277="Minijob (geringfügig)",ISNUMBER(BB277),BB277&gt;P_Minijob),"Minijob-Grenze überschritten; ","")&amp;IF(AND(R277="Ja",S277=""),"Befristung ohne Enddatum; ","")&amp;IF(AND(ISNUMBER(O277),ISNUMBER(N277),O277&lt;N277),"Austritt vor Eintritt; ","")&amp;IF(AND(ISNUMBER(AU277),ISNUMBER(AV277),AU277&lt;AV277),"Urlaub unter gesetzl. Minimum; ","")&amp;IF(AND(ISNUMBER(AC277),ISNUMBER(AF277),ABS(N(AC277)-N(AF277))&gt;0.01),"Wochenstd. weichen vom Modell ab; ","")&amp;IF(AND(AI277="Ja",OR(AJ277="",AK277="")),"Kontogrenzen fehlen; ","")&amp;IF(AND(AL277="Mit Gehalt abgegolten (Pauschale)",AM277=""),"Überstunden-Pauschale fehlt; ","")))</f>
        <v/>
      </c>
      <c r="BH277" s="38"/>
    </row>
    <row r="278" customFormat="false" ht="15" hidden="false" customHeight="false" outlineLevel="0" collapsed="false">
      <c r="A278" s="37"/>
      <c r="B278" s="38"/>
      <c r="C278" s="38"/>
      <c r="D278" s="38"/>
      <c r="E278" s="38"/>
      <c r="F278" s="39"/>
      <c r="G278" s="38"/>
      <c r="H278" s="38"/>
      <c r="I278" s="37"/>
      <c r="J278" s="38"/>
      <c r="K278" s="38"/>
      <c r="L278" s="38"/>
      <c r="M278" s="38"/>
      <c r="N278" s="39"/>
      <c r="O278" s="39"/>
      <c r="P278" s="38"/>
      <c r="Q278" s="38"/>
      <c r="R278" s="38"/>
      <c r="S278" s="39"/>
      <c r="T278" s="39"/>
      <c r="U278" s="38"/>
      <c r="V278" s="38"/>
      <c r="W278" s="37"/>
      <c r="X278" s="38"/>
      <c r="Y278" s="38"/>
      <c r="Z278" s="37"/>
      <c r="AA278" s="38"/>
      <c r="AB278" s="38"/>
      <c r="AC278" s="40"/>
      <c r="AD278" s="41"/>
      <c r="AE278" s="42" t="str">
        <f aca="false">IF(OR(A278="",NOT(ISNUMBER(AC278)),NOT(ISNUMBER(AD278))),"",IF(AD278&gt;0,AC278/AD278,""))</f>
        <v/>
      </c>
      <c r="AF278" s="42" t="str">
        <f aca="false">IF(OR(A278="",AB278=""),"",IFERROR(INDEX(Arbeitszeitmodelle!$C$5:$C$34,MATCH(AB278,Arbeitszeitmodelle!$A$5:$A$34,0)),""))</f>
        <v/>
      </c>
      <c r="AG278" s="38"/>
      <c r="AH278" s="38"/>
      <c r="AI278" s="38"/>
      <c r="AJ278" s="41"/>
      <c r="AK278" s="41"/>
      <c r="AL278" s="38"/>
      <c r="AM278" s="41"/>
      <c r="AN278" s="38"/>
      <c r="AO278" s="38"/>
      <c r="AP278" s="38"/>
      <c r="AQ278" s="38"/>
      <c r="AR278" s="41"/>
      <c r="AS278" s="40"/>
      <c r="AT278" s="39"/>
      <c r="AU278" s="41"/>
      <c r="AV278" s="43" t="str">
        <f aca="false">IF(OR(A278="",NOT(ISNUMBER(AD278))),"",P_MinUrlaubWerktage/6*AD278)</f>
        <v/>
      </c>
      <c r="AW278" s="43" t="str">
        <f aca="false">IF(A278="","",IF(M278="Ja",P_ZusatzSB*IF(ISNUMBER(AD278),AD278,5)/5,0))</f>
        <v/>
      </c>
      <c r="AX278" s="41"/>
      <c r="AY278" s="39"/>
      <c r="AZ278" s="43" t="str">
        <f aca="false">IF(OR(A278="",NOT(ISNUMBER(AU278))),"",SUM(AU278,AW278,AX278))</f>
        <v/>
      </c>
      <c r="BA278" s="38"/>
      <c r="BB278" s="44"/>
      <c r="BC278" s="44"/>
      <c r="BD278" s="45" t="str">
        <f aca="false">IF(A278="","",IF(BA278="Stundenlohn",IF(ISNUMBER(BC278),BC278,""),IF(AND(ISNUMBER(BB278),ISNUMBER(AC278)),IF(AC278&gt;0,BB278*12/(AC278*52),""),"")))</f>
        <v/>
      </c>
      <c r="BE278" s="46" t="str">
        <f aca="false">IF(OR(A278="",NOT(ISNUMBER(F278))),"",IFERROR(DATEDIF(F278,P_Stichtag,"Y"),""))</f>
        <v/>
      </c>
      <c r="BF278" s="47" t="str">
        <f aca="false">IF(OR(A278="",NOT(ISNUMBER(BE278))),"",IF(BE278&lt;18,"Ja","Nein"))</f>
        <v/>
      </c>
      <c r="BG278" s="48" t="str">
        <f aca="false">IF(A278="","",IF((IF(OR(B278="",C278="",F278="",N278="",Q278="",AB278="",AC278="",AD278="",AU278=""),"Pflichtfelder fehlen; ","")&amp;IF(AND(ISNUMBER(AC278),AC278&gt;P_MaxWoche),"Wochenstunden &gt; Prüfgrenze; ","")&amp;IF(AND(BF278="Ja",ISNUMBER(AC278),AC278&gt;P_MaxWocheJugend),"Jugendlicher &gt; 40 h/Woche; ","")&amp;IF(AND(ISNUMBER(BD278),BD278&lt;P_Mindestlohn,Q278&lt;&gt;"Auszubildende/r",Q278&lt;&gt;"Praktikant/in"),"Mindestlohn unterschritten?; ","")&amp;IF(AND(Q278="Minijob (geringfügig)",ISNUMBER(BB278),BB278&gt;P_Minijob),"Minijob-Grenze überschritten; ","")&amp;IF(AND(R278="Ja",S278=""),"Befristung ohne Enddatum; ","")&amp;IF(AND(ISNUMBER(O278),ISNUMBER(N278),O278&lt;N278),"Austritt vor Eintritt; ","")&amp;IF(AND(ISNUMBER(AU278),ISNUMBER(AV278),AU278&lt;AV278),"Urlaub unter gesetzl. Minimum; ","")&amp;IF(AND(ISNUMBER(AC278),ISNUMBER(AF278),ABS(N(AC278)-N(AF278))&gt;0.01),"Wochenstd. weichen vom Modell ab; ","")&amp;IF(AND(AI278="Ja",OR(AJ278="",AK278="")),"Kontogrenzen fehlen; ","")&amp;IF(AND(AL278="Mit Gehalt abgegolten (Pauschale)",AM278=""),"Überstunden-Pauschale fehlt; ",""))="","OK",IF(OR(B278="",C278="",F278="",N278="",Q278="",AB278="",AC278="",AD278="",AU278=""),"Pflichtfelder fehlen; ","")&amp;IF(AND(ISNUMBER(AC278),AC278&gt;P_MaxWoche),"Wochenstunden &gt; Prüfgrenze; ","")&amp;IF(AND(BF278="Ja",ISNUMBER(AC278),AC278&gt;P_MaxWocheJugend),"Jugendlicher &gt; 40 h/Woche; ","")&amp;IF(AND(ISNUMBER(BD278),BD278&lt;P_Mindestlohn,Q278&lt;&gt;"Auszubildende/r",Q278&lt;&gt;"Praktikant/in"),"Mindestlohn unterschritten?; ","")&amp;IF(AND(Q278="Minijob (geringfügig)",ISNUMBER(BB278),BB278&gt;P_Minijob),"Minijob-Grenze überschritten; ","")&amp;IF(AND(R278="Ja",S278=""),"Befristung ohne Enddatum; ","")&amp;IF(AND(ISNUMBER(O278),ISNUMBER(N278),O278&lt;N278),"Austritt vor Eintritt; ","")&amp;IF(AND(ISNUMBER(AU278),ISNUMBER(AV278),AU278&lt;AV278),"Urlaub unter gesetzl. Minimum; ","")&amp;IF(AND(ISNUMBER(AC278),ISNUMBER(AF278),ABS(N(AC278)-N(AF278))&gt;0.01),"Wochenstd. weichen vom Modell ab; ","")&amp;IF(AND(AI278="Ja",OR(AJ278="",AK278="")),"Kontogrenzen fehlen; ","")&amp;IF(AND(AL278="Mit Gehalt abgegolten (Pauschale)",AM278=""),"Überstunden-Pauschale fehlt; ","")))</f>
        <v/>
      </c>
      <c r="BH278" s="38"/>
    </row>
    <row r="279" customFormat="false" ht="15" hidden="false" customHeight="false" outlineLevel="0" collapsed="false">
      <c r="A279" s="37"/>
      <c r="B279" s="38"/>
      <c r="C279" s="38"/>
      <c r="D279" s="38"/>
      <c r="E279" s="38"/>
      <c r="F279" s="39"/>
      <c r="G279" s="38"/>
      <c r="H279" s="38"/>
      <c r="I279" s="37"/>
      <c r="J279" s="38"/>
      <c r="K279" s="38"/>
      <c r="L279" s="38"/>
      <c r="M279" s="38"/>
      <c r="N279" s="39"/>
      <c r="O279" s="39"/>
      <c r="P279" s="38"/>
      <c r="Q279" s="38"/>
      <c r="R279" s="38"/>
      <c r="S279" s="39"/>
      <c r="T279" s="39"/>
      <c r="U279" s="38"/>
      <c r="V279" s="38"/>
      <c r="W279" s="37"/>
      <c r="X279" s="38"/>
      <c r="Y279" s="38"/>
      <c r="Z279" s="37"/>
      <c r="AA279" s="38"/>
      <c r="AB279" s="38"/>
      <c r="AC279" s="40"/>
      <c r="AD279" s="41"/>
      <c r="AE279" s="42" t="str">
        <f aca="false">IF(OR(A279="",NOT(ISNUMBER(AC279)),NOT(ISNUMBER(AD279))),"",IF(AD279&gt;0,AC279/AD279,""))</f>
        <v/>
      </c>
      <c r="AF279" s="42" t="str">
        <f aca="false">IF(OR(A279="",AB279=""),"",IFERROR(INDEX(Arbeitszeitmodelle!$C$5:$C$34,MATCH(AB279,Arbeitszeitmodelle!$A$5:$A$34,0)),""))</f>
        <v/>
      </c>
      <c r="AG279" s="38"/>
      <c r="AH279" s="38"/>
      <c r="AI279" s="38"/>
      <c r="AJ279" s="41"/>
      <c r="AK279" s="41"/>
      <c r="AL279" s="38"/>
      <c r="AM279" s="41"/>
      <c r="AN279" s="38"/>
      <c r="AO279" s="38"/>
      <c r="AP279" s="38"/>
      <c r="AQ279" s="38"/>
      <c r="AR279" s="41"/>
      <c r="AS279" s="40"/>
      <c r="AT279" s="39"/>
      <c r="AU279" s="41"/>
      <c r="AV279" s="43" t="str">
        <f aca="false">IF(OR(A279="",NOT(ISNUMBER(AD279))),"",P_MinUrlaubWerktage/6*AD279)</f>
        <v/>
      </c>
      <c r="AW279" s="43" t="str">
        <f aca="false">IF(A279="","",IF(M279="Ja",P_ZusatzSB*IF(ISNUMBER(AD279),AD279,5)/5,0))</f>
        <v/>
      </c>
      <c r="AX279" s="41"/>
      <c r="AY279" s="39"/>
      <c r="AZ279" s="43" t="str">
        <f aca="false">IF(OR(A279="",NOT(ISNUMBER(AU279))),"",SUM(AU279,AW279,AX279))</f>
        <v/>
      </c>
      <c r="BA279" s="38"/>
      <c r="BB279" s="44"/>
      <c r="BC279" s="44"/>
      <c r="BD279" s="45" t="str">
        <f aca="false">IF(A279="","",IF(BA279="Stundenlohn",IF(ISNUMBER(BC279),BC279,""),IF(AND(ISNUMBER(BB279),ISNUMBER(AC279)),IF(AC279&gt;0,BB279*12/(AC279*52),""),"")))</f>
        <v/>
      </c>
      <c r="BE279" s="46" t="str">
        <f aca="false">IF(OR(A279="",NOT(ISNUMBER(F279))),"",IFERROR(DATEDIF(F279,P_Stichtag,"Y"),""))</f>
        <v/>
      </c>
      <c r="BF279" s="47" t="str">
        <f aca="false">IF(OR(A279="",NOT(ISNUMBER(BE279))),"",IF(BE279&lt;18,"Ja","Nein"))</f>
        <v/>
      </c>
      <c r="BG279" s="48" t="str">
        <f aca="false">IF(A279="","",IF((IF(OR(B279="",C279="",F279="",N279="",Q279="",AB279="",AC279="",AD279="",AU279=""),"Pflichtfelder fehlen; ","")&amp;IF(AND(ISNUMBER(AC279),AC279&gt;P_MaxWoche),"Wochenstunden &gt; Prüfgrenze; ","")&amp;IF(AND(BF279="Ja",ISNUMBER(AC279),AC279&gt;P_MaxWocheJugend),"Jugendlicher &gt; 40 h/Woche; ","")&amp;IF(AND(ISNUMBER(BD279),BD279&lt;P_Mindestlohn,Q279&lt;&gt;"Auszubildende/r",Q279&lt;&gt;"Praktikant/in"),"Mindestlohn unterschritten?; ","")&amp;IF(AND(Q279="Minijob (geringfügig)",ISNUMBER(BB279),BB279&gt;P_Minijob),"Minijob-Grenze überschritten; ","")&amp;IF(AND(R279="Ja",S279=""),"Befristung ohne Enddatum; ","")&amp;IF(AND(ISNUMBER(O279),ISNUMBER(N279),O279&lt;N279),"Austritt vor Eintritt; ","")&amp;IF(AND(ISNUMBER(AU279),ISNUMBER(AV279),AU279&lt;AV279),"Urlaub unter gesetzl. Minimum; ","")&amp;IF(AND(ISNUMBER(AC279),ISNUMBER(AF279),ABS(N(AC279)-N(AF279))&gt;0.01),"Wochenstd. weichen vom Modell ab; ","")&amp;IF(AND(AI279="Ja",OR(AJ279="",AK279="")),"Kontogrenzen fehlen; ","")&amp;IF(AND(AL279="Mit Gehalt abgegolten (Pauschale)",AM279=""),"Überstunden-Pauschale fehlt; ",""))="","OK",IF(OR(B279="",C279="",F279="",N279="",Q279="",AB279="",AC279="",AD279="",AU279=""),"Pflichtfelder fehlen; ","")&amp;IF(AND(ISNUMBER(AC279),AC279&gt;P_MaxWoche),"Wochenstunden &gt; Prüfgrenze; ","")&amp;IF(AND(BF279="Ja",ISNUMBER(AC279),AC279&gt;P_MaxWocheJugend),"Jugendlicher &gt; 40 h/Woche; ","")&amp;IF(AND(ISNUMBER(BD279),BD279&lt;P_Mindestlohn,Q279&lt;&gt;"Auszubildende/r",Q279&lt;&gt;"Praktikant/in"),"Mindestlohn unterschritten?; ","")&amp;IF(AND(Q279="Minijob (geringfügig)",ISNUMBER(BB279),BB279&gt;P_Minijob),"Minijob-Grenze überschritten; ","")&amp;IF(AND(R279="Ja",S279=""),"Befristung ohne Enddatum; ","")&amp;IF(AND(ISNUMBER(O279),ISNUMBER(N279),O279&lt;N279),"Austritt vor Eintritt; ","")&amp;IF(AND(ISNUMBER(AU279),ISNUMBER(AV279),AU279&lt;AV279),"Urlaub unter gesetzl. Minimum; ","")&amp;IF(AND(ISNUMBER(AC279),ISNUMBER(AF279),ABS(N(AC279)-N(AF279))&gt;0.01),"Wochenstd. weichen vom Modell ab; ","")&amp;IF(AND(AI279="Ja",OR(AJ279="",AK279="")),"Kontogrenzen fehlen; ","")&amp;IF(AND(AL279="Mit Gehalt abgegolten (Pauschale)",AM279=""),"Überstunden-Pauschale fehlt; ","")))</f>
        <v/>
      </c>
      <c r="BH279" s="38"/>
    </row>
    <row r="280" customFormat="false" ht="15" hidden="false" customHeight="false" outlineLevel="0" collapsed="false">
      <c r="A280" s="37"/>
      <c r="B280" s="38"/>
      <c r="C280" s="38"/>
      <c r="D280" s="38"/>
      <c r="E280" s="38"/>
      <c r="F280" s="39"/>
      <c r="G280" s="38"/>
      <c r="H280" s="38"/>
      <c r="I280" s="37"/>
      <c r="J280" s="38"/>
      <c r="K280" s="38"/>
      <c r="L280" s="38"/>
      <c r="M280" s="38"/>
      <c r="N280" s="39"/>
      <c r="O280" s="39"/>
      <c r="P280" s="38"/>
      <c r="Q280" s="38"/>
      <c r="R280" s="38"/>
      <c r="S280" s="39"/>
      <c r="T280" s="39"/>
      <c r="U280" s="38"/>
      <c r="V280" s="38"/>
      <c r="W280" s="37"/>
      <c r="X280" s="38"/>
      <c r="Y280" s="38"/>
      <c r="Z280" s="37"/>
      <c r="AA280" s="38"/>
      <c r="AB280" s="38"/>
      <c r="AC280" s="40"/>
      <c r="AD280" s="41"/>
      <c r="AE280" s="42" t="str">
        <f aca="false">IF(OR(A280="",NOT(ISNUMBER(AC280)),NOT(ISNUMBER(AD280))),"",IF(AD280&gt;0,AC280/AD280,""))</f>
        <v/>
      </c>
      <c r="AF280" s="42" t="str">
        <f aca="false">IF(OR(A280="",AB280=""),"",IFERROR(INDEX(Arbeitszeitmodelle!$C$5:$C$34,MATCH(AB280,Arbeitszeitmodelle!$A$5:$A$34,0)),""))</f>
        <v/>
      </c>
      <c r="AG280" s="38"/>
      <c r="AH280" s="38"/>
      <c r="AI280" s="38"/>
      <c r="AJ280" s="41"/>
      <c r="AK280" s="41"/>
      <c r="AL280" s="38"/>
      <c r="AM280" s="41"/>
      <c r="AN280" s="38"/>
      <c r="AO280" s="38"/>
      <c r="AP280" s="38"/>
      <c r="AQ280" s="38"/>
      <c r="AR280" s="41"/>
      <c r="AS280" s="40"/>
      <c r="AT280" s="39"/>
      <c r="AU280" s="41"/>
      <c r="AV280" s="43" t="str">
        <f aca="false">IF(OR(A280="",NOT(ISNUMBER(AD280))),"",P_MinUrlaubWerktage/6*AD280)</f>
        <v/>
      </c>
      <c r="AW280" s="43" t="str">
        <f aca="false">IF(A280="","",IF(M280="Ja",P_ZusatzSB*IF(ISNUMBER(AD280),AD280,5)/5,0))</f>
        <v/>
      </c>
      <c r="AX280" s="41"/>
      <c r="AY280" s="39"/>
      <c r="AZ280" s="43" t="str">
        <f aca="false">IF(OR(A280="",NOT(ISNUMBER(AU280))),"",SUM(AU280,AW280,AX280))</f>
        <v/>
      </c>
      <c r="BA280" s="38"/>
      <c r="BB280" s="44"/>
      <c r="BC280" s="44"/>
      <c r="BD280" s="45" t="str">
        <f aca="false">IF(A280="","",IF(BA280="Stundenlohn",IF(ISNUMBER(BC280),BC280,""),IF(AND(ISNUMBER(BB280),ISNUMBER(AC280)),IF(AC280&gt;0,BB280*12/(AC280*52),""),"")))</f>
        <v/>
      </c>
      <c r="BE280" s="46" t="str">
        <f aca="false">IF(OR(A280="",NOT(ISNUMBER(F280))),"",IFERROR(DATEDIF(F280,P_Stichtag,"Y"),""))</f>
        <v/>
      </c>
      <c r="BF280" s="47" t="str">
        <f aca="false">IF(OR(A280="",NOT(ISNUMBER(BE280))),"",IF(BE280&lt;18,"Ja","Nein"))</f>
        <v/>
      </c>
      <c r="BG280" s="48" t="str">
        <f aca="false">IF(A280="","",IF((IF(OR(B280="",C280="",F280="",N280="",Q280="",AB280="",AC280="",AD280="",AU280=""),"Pflichtfelder fehlen; ","")&amp;IF(AND(ISNUMBER(AC280),AC280&gt;P_MaxWoche),"Wochenstunden &gt; Prüfgrenze; ","")&amp;IF(AND(BF280="Ja",ISNUMBER(AC280),AC280&gt;P_MaxWocheJugend),"Jugendlicher &gt; 40 h/Woche; ","")&amp;IF(AND(ISNUMBER(BD280),BD280&lt;P_Mindestlohn,Q280&lt;&gt;"Auszubildende/r",Q280&lt;&gt;"Praktikant/in"),"Mindestlohn unterschritten?; ","")&amp;IF(AND(Q280="Minijob (geringfügig)",ISNUMBER(BB280),BB280&gt;P_Minijob),"Minijob-Grenze überschritten; ","")&amp;IF(AND(R280="Ja",S280=""),"Befristung ohne Enddatum; ","")&amp;IF(AND(ISNUMBER(O280),ISNUMBER(N280),O280&lt;N280),"Austritt vor Eintritt; ","")&amp;IF(AND(ISNUMBER(AU280),ISNUMBER(AV280),AU280&lt;AV280),"Urlaub unter gesetzl. Minimum; ","")&amp;IF(AND(ISNUMBER(AC280),ISNUMBER(AF280),ABS(N(AC280)-N(AF280))&gt;0.01),"Wochenstd. weichen vom Modell ab; ","")&amp;IF(AND(AI280="Ja",OR(AJ280="",AK280="")),"Kontogrenzen fehlen; ","")&amp;IF(AND(AL280="Mit Gehalt abgegolten (Pauschale)",AM280=""),"Überstunden-Pauschale fehlt; ",""))="","OK",IF(OR(B280="",C280="",F280="",N280="",Q280="",AB280="",AC280="",AD280="",AU280=""),"Pflichtfelder fehlen; ","")&amp;IF(AND(ISNUMBER(AC280),AC280&gt;P_MaxWoche),"Wochenstunden &gt; Prüfgrenze; ","")&amp;IF(AND(BF280="Ja",ISNUMBER(AC280),AC280&gt;P_MaxWocheJugend),"Jugendlicher &gt; 40 h/Woche; ","")&amp;IF(AND(ISNUMBER(BD280),BD280&lt;P_Mindestlohn,Q280&lt;&gt;"Auszubildende/r",Q280&lt;&gt;"Praktikant/in"),"Mindestlohn unterschritten?; ","")&amp;IF(AND(Q280="Minijob (geringfügig)",ISNUMBER(BB280),BB280&gt;P_Minijob),"Minijob-Grenze überschritten; ","")&amp;IF(AND(R280="Ja",S280=""),"Befristung ohne Enddatum; ","")&amp;IF(AND(ISNUMBER(O280),ISNUMBER(N280),O280&lt;N280),"Austritt vor Eintritt; ","")&amp;IF(AND(ISNUMBER(AU280),ISNUMBER(AV280),AU280&lt;AV280),"Urlaub unter gesetzl. Minimum; ","")&amp;IF(AND(ISNUMBER(AC280),ISNUMBER(AF280),ABS(N(AC280)-N(AF280))&gt;0.01),"Wochenstd. weichen vom Modell ab; ","")&amp;IF(AND(AI280="Ja",OR(AJ280="",AK280="")),"Kontogrenzen fehlen; ","")&amp;IF(AND(AL280="Mit Gehalt abgegolten (Pauschale)",AM280=""),"Überstunden-Pauschale fehlt; ","")))</f>
        <v/>
      </c>
      <c r="BH280" s="38"/>
    </row>
    <row r="281" customFormat="false" ht="15" hidden="false" customHeight="false" outlineLevel="0" collapsed="false">
      <c r="A281" s="37"/>
      <c r="B281" s="38"/>
      <c r="C281" s="38"/>
      <c r="D281" s="38"/>
      <c r="E281" s="38"/>
      <c r="F281" s="39"/>
      <c r="G281" s="38"/>
      <c r="H281" s="38"/>
      <c r="I281" s="37"/>
      <c r="J281" s="38"/>
      <c r="K281" s="38"/>
      <c r="L281" s="38"/>
      <c r="M281" s="38"/>
      <c r="N281" s="39"/>
      <c r="O281" s="39"/>
      <c r="P281" s="38"/>
      <c r="Q281" s="38"/>
      <c r="R281" s="38"/>
      <c r="S281" s="39"/>
      <c r="T281" s="39"/>
      <c r="U281" s="38"/>
      <c r="V281" s="38"/>
      <c r="W281" s="37"/>
      <c r="X281" s="38"/>
      <c r="Y281" s="38"/>
      <c r="Z281" s="37"/>
      <c r="AA281" s="38"/>
      <c r="AB281" s="38"/>
      <c r="AC281" s="40"/>
      <c r="AD281" s="41"/>
      <c r="AE281" s="42" t="str">
        <f aca="false">IF(OR(A281="",NOT(ISNUMBER(AC281)),NOT(ISNUMBER(AD281))),"",IF(AD281&gt;0,AC281/AD281,""))</f>
        <v/>
      </c>
      <c r="AF281" s="42" t="str">
        <f aca="false">IF(OR(A281="",AB281=""),"",IFERROR(INDEX(Arbeitszeitmodelle!$C$5:$C$34,MATCH(AB281,Arbeitszeitmodelle!$A$5:$A$34,0)),""))</f>
        <v/>
      </c>
      <c r="AG281" s="38"/>
      <c r="AH281" s="38"/>
      <c r="AI281" s="38"/>
      <c r="AJ281" s="41"/>
      <c r="AK281" s="41"/>
      <c r="AL281" s="38"/>
      <c r="AM281" s="41"/>
      <c r="AN281" s="38"/>
      <c r="AO281" s="38"/>
      <c r="AP281" s="38"/>
      <c r="AQ281" s="38"/>
      <c r="AR281" s="41"/>
      <c r="AS281" s="40"/>
      <c r="AT281" s="39"/>
      <c r="AU281" s="41"/>
      <c r="AV281" s="43" t="str">
        <f aca="false">IF(OR(A281="",NOT(ISNUMBER(AD281))),"",P_MinUrlaubWerktage/6*AD281)</f>
        <v/>
      </c>
      <c r="AW281" s="43" t="str">
        <f aca="false">IF(A281="","",IF(M281="Ja",P_ZusatzSB*IF(ISNUMBER(AD281),AD281,5)/5,0))</f>
        <v/>
      </c>
      <c r="AX281" s="41"/>
      <c r="AY281" s="39"/>
      <c r="AZ281" s="43" t="str">
        <f aca="false">IF(OR(A281="",NOT(ISNUMBER(AU281))),"",SUM(AU281,AW281,AX281))</f>
        <v/>
      </c>
      <c r="BA281" s="38"/>
      <c r="BB281" s="44"/>
      <c r="BC281" s="44"/>
      <c r="BD281" s="45" t="str">
        <f aca="false">IF(A281="","",IF(BA281="Stundenlohn",IF(ISNUMBER(BC281),BC281,""),IF(AND(ISNUMBER(BB281),ISNUMBER(AC281)),IF(AC281&gt;0,BB281*12/(AC281*52),""),"")))</f>
        <v/>
      </c>
      <c r="BE281" s="46" t="str">
        <f aca="false">IF(OR(A281="",NOT(ISNUMBER(F281))),"",IFERROR(DATEDIF(F281,P_Stichtag,"Y"),""))</f>
        <v/>
      </c>
      <c r="BF281" s="47" t="str">
        <f aca="false">IF(OR(A281="",NOT(ISNUMBER(BE281))),"",IF(BE281&lt;18,"Ja","Nein"))</f>
        <v/>
      </c>
      <c r="BG281" s="48" t="str">
        <f aca="false">IF(A281="","",IF((IF(OR(B281="",C281="",F281="",N281="",Q281="",AB281="",AC281="",AD281="",AU281=""),"Pflichtfelder fehlen; ","")&amp;IF(AND(ISNUMBER(AC281),AC281&gt;P_MaxWoche),"Wochenstunden &gt; Prüfgrenze; ","")&amp;IF(AND(BF281="Ja",ISNUMBER(AC281),AC281&gt;P_MaxWocheJugend),"Jugendlicher &gt; 40 h/Woche; ","")&amp;IF(AND(ISNUMBER(BD281),BD281&lt;P_Mindestlohn,Q281&lt;&gt;"Auszubildende/r",Q281&lt;&gt;"Praktikant/in"),"Mindestlohn unterschritten?; ","")&amp;IF(AND(Q281="Minijob (geringfügig)",ISNUMBER(BB281),BB281&gt;P_Minijob),"Minijob-Grenze überschritten; ","")&amp;IF(AND(R281="Ja",S281=""),"Befristung ohne Enddatum; ","")&amp;IF(AND(ISNUMBER(O281),ISNUMBER(N281),O281&lt;N281),"Austritt vor Eintritt; ","")&amp;IF(AND(ISNUMBER(AU281),ISNUMBER(AV281),AU281&lt;AV281),"Urlaub unter gesetzl. Minimum; ","")&amp;IF(AND(ISNUMBER(AC281),ISNUMBER(AF281),ABS(N(AC281)-N(AF281))&gt;0.01),"Wochenstd. weichen vom Modell ab; ","")&amp;IF(AND(AI281="Ja",OR(AJ281="",AK281="")),"Kontogrenzen fehlen; ","")&amp;IF(AND(AL281="Mit Gehalt abgegolten (Pauschale)",AM281=""),"Überstunden-Pauschale fehlt; ",""))="","OK",IF(OR(B281="",C281="",F281="",N281="",Q281="",AB281="",AC281="",AD281="",AU281=""),"Pflichtfelder fehlen; ","")&amp;IF(AND(ISNUMBER(AC281),AC281&gt;P_MaxWoche),"Wochenstunden &gt; Prüfgrenze; ","")&amp;IF(AND(BF281="Ja",ISNUMBER(AC281),AC281&gt;P_MaxWocheJugend),"Jugendlicher &gt; 40 h/Woche; ","")&amp;IF(AND(ISNUMBER(BD281),BD281&lt;P_Mindestlohn,Q281&lt;&gt;"Auszubildende/r",Q281&lt;&gt;"Praktikant/in"),"Mindestlohn unterschritten?; ","")&amp;IF(AND(Q281="Minijob (geringfügig)",ISNUMBER(BB281),BB281&gt;P_Minijob),"Minijob-Grenze überschritten; ","")&amp;IF(AND(R281="Ja",S281=""),"Befristung ohne Enddatum; ","")&amp;IF(AND(ISNUMBER(O281),ISNUMBER(N281),O281&lt;N281),"Austritt vor Eintritt; ","")&amp;IF(AND(ISNUMBER(AU281),ISNUMBER(AV281),AU281&lt;AV281),"Urlaub unter gesetzl. Minimum; ","")&amp;IF(AND(ISNUMBER(AC281),ISNUMBER(AF281),ABS(N(AC281)-N(AF281))&gt;0.01),"Wochenstd. weichen vom Modell ab; ","")&amp;IF(AND(AI281="Ja",OR(AJ281="",AK281="")),"Kontogrenzen fehlen; ","")&amp;IF(AND(AL281="Mit Gehalt abgegolten (Pauschale)",AM281=""),"Überstunden-Pauschale fehlt; ","")))</f>
        <v/>
      </c>
      <c r="BH281" s="38"/>
    </row>
    <row r="282" customFormat="false" ht="15" hidden="false" customHeight="false" outlineLevel="0" collapsed="false">
      <c r="A282" s="37"/>
      <c r="B282" s="38"/>
      <c r="C282" s="38"/>
      <c r="D282" s="38"/>
      <c r="E282" s="38"/>
      <c r="F282" s="39"/>
      <c r="G282" s="38"/>
      <c r="H282" s="38"/>
      <c r="I282" s="37"/>
      <c r="J282" s="38"/>
      <c r="K282" s="38"/>
      <c r="L282" s="38"/>
      <c r="M282" s="38"/>
      <c r="N282" s="39"/>
      <c r="O282" s="39"/>
      <c r="P282" s="38"/>
      <c r="Q282" s="38"/>
      <c r="R282" s="38"/>
      <c r="S282" s="39"/>
      <c r="T282" s="39"/>
      <c r="U282" s="38"/>
      <c r="V282" s="38"/>
      <c r="W282" s="37"/>
      <c r="X282" s="38"/>
      <c r="Y282" s="38"/>
      <c r="Z282" s="37"/>
      <c r="AA282" s="38"/>
      <c r="AB282" s="38"/>
      <c r="AC282" s="40"/>
      <c r="AD282" s="41"/>
      <c r="AE282" s="42" t="str">
        <f aca="false">IF(OR(A282="",NOT(ISNUMBER(AC282)),NOT(ISNUMBER(AD282))),"",IF(AD282&gt;0,AC282/AD282,""))</f>
        <v/>
      </c>
      <c r="AF282" s="42" t="str">
        <f aca="false">IF(OR(A282="",AB282=""),"",IFERROR(INDEX(Arbeitszeitmodelle!$C$5:$C$34,MATCH(AB282,Arbeitszeitmodelle!$A$5:$A$34,0)),""))</f>
        <v/>
      </c>
      <c r="AG282" s="38"/>
      <c r="AH282" s="38"/>
      <c r="AI282" s="38"/>
      <c r="AJ282" s="41"/>
      <c r="AK282" s="41"/>
      <c r="AL282" s="38"/>
      <c r="AM282" s="41"/>
      <c r="AN282" s="38"/>
      <c r="AO282" s="38"/>
      <c r="AP282" s="38"/>
      <c r="AQ282" s="38"/>
      <c r="AR282" s="41"/>
      <c r="AS282" s="40"/>
      <c r="AT282" s="39"/>
      <c r="AU282" s="41"/>
      <c r="AV282" s="43" t="str">
        <f aca="false">IF(OR(A282="",NOT(ISNUMBER(AD282))),"",P_MinUrlaubWerktage/6*AD282)</f>
        <v/>
      </c>
      <c r="AW282" s="43" t="str">
        <f aca="false">IF(A282="","",IF(M282="Ja",P_ZusatzSB*IF(ISNUMBER(AD282),AD282,5)/5,0))</f>
        <v/>
      </c>
      <c r="AX282" s="41"/>
      <c r="AY282" s="39"/>
      <c r="AZ282" s="43" t="str">
        <f aca="false">IF(OR(A282="",NOT(ISNUMBER(AU282))),"",SUM(AU282,AW282,AX282))</f>
        <v/>
      </c>
      <c r="BA282" s="38"/>
      <c r="BB282" s="44"/>
      <c r="BC282" s="44"/>
      <c r="BD282" s="45" t="str">
        <f aca="false">IF(A282="","",IF(BA282="Stundenlohn",IF(ISNUMBER(BC282),BC282,""),IF(AND(ISNUMBER(BB282),ISNUMBER(AC282)),IF(AC282&gt;0,BB282*12/(AC282*52),""),"")))</f>
        <v/>
      </c>
      <c r="BE282" s="46" t="str">
        <f aca="false">IF(OR(A282="",NOT(ISNUMBER(F282))),"",IFERROR(DATEDIF(F282,P_Stichtag,"Y"),""))</f>
        <v/>
      </c>
      <c r="BF282" s="47" t="str">
        <f aca="false">IF(OR(A282="",NOT(ISNUMBER(BE282))),"",IF(BE282&lt;18,"Ja","Nein"))</f>
        <v/>
      </c>
      <c r="BG282" s="48" t="str">
        <f aca="false">IF(A282="","",IF((IF(OR(B282="",C282="",F282="",N282="",Q282="",AB282="",AC282="",AD282="",AU282=""),"Pflichtfelder fehlen; ","")&amp;IF(AND(ISNUMBER(AC282),AC282&gt;P_MaxWoche),"Wochenstunden &gt; Prüfgrenze; ","")&amp;IF(AND(BF282="Ja",ISNUMBER(AC282),AC282&gt;P_MaxWocheJugend),"Jugendlicher &gt; 40 h/Woche; ","")&amp;IF(AND(ISNUMBER(BD282),BD282&lt;P_Mindestlohn,Q282&lt;&gt;"Auszubildende/r",Q282&lt;&gt;"Praktikant/in"),"Mindestlohn unterschritten?; ","")&amp;IF(AND(Q282="Minijob (geringfügig)",ISNUMBER(BB282),BB282&gt;P_Minijob),"Minijob-Grenze überschritten; ","")&amp;IF(AND(R282="Ja",S282=""),"Befristung ohne Enddatum; ","")&amp;IF(AND(ISNUMBER(O282),ISNUMBER(N282),O282&lt;N282),"Austritt vor Eintritt; ","")&amp;IF(AND(ISNUMBER(AU282),ISNUMBER(AV282),AU282&lt;AV282),"Urlaub unter gesetzl. Minimum; ","")&amp;IF(AND(ISNUMBER(AC282),ISNUMBER(AF282),ABS(N(AC282)-N(AF282))&gt;0.01),"Wochenstd. weichen vom Modell ab; ","")&amp;IF(AND(AI282="Ja",OR(AJ282="",AK282="")),"Kontogrenzen fehlen; ","")&amp;IF(AND(AL282="Mit Gehalt abgegolten (Pauschale)",AM282=""),"Überstunden-Pauschale fehlt; ",""))="","OK",IF(OR(B282="",C282="",F282="",N282="",Q282="",AB282="",AC282="",AD282="",AU282=""),"Pflichtfelder fehlen; ","")&amp;IF(AND(ISNUMBER(AC282),AC282&gt;P_MaxWoche),"Wochenstunden &gt; Prüfgrenze; ","")&amp;IF(AND(BF282="Ja",ISNUMBER(AC282),AC282&gt;P_MaxWocheJugend),"Jugendlicher &gt; 40 h/Woche; ","")&amp;IF(AND(ISNUMBER(BD282),BD282&lt;P_Mindestlohn,Q282&lt;&gt;"Auszubildende/r",Q282&lt;&gt;"Praktikant/in"),"Mindestlohn unterschritten?; ","")&amp;IF(AND(Q282="Minijob (geringfügig)",ISNUMBER(BB282),BB282&gt;P_Minijob),"Minijob-Grenze überschritten; ","")&amp;IF(AND(R282="Ja",S282=""),"Befristung ohne Enddatum; ","")&amp;IF(AND(ISNUMBER(O282),ISNUMBER(N282),O282&lt;N282),"Austritt vor Eintritt; ","")&amp;IF(AND(ISNUMBER(AU282),ISNUMBER(AV282),AU282&lt;AV282),"Urlaub unter gesetzl. Minimum; ","")&amp;IF(AND(ISNUMBER(AC282),ISNUMBER(AF282),ABS(N(AC282)-N(AF282))&gt;0.01),"Wochenstd. weichen vom Modell ab; ","")&amp;IF(AND(AI282="Ja",OR(AJ282="",AK282="")),"Kontogrenzen fehlen; ","")&amp;IF(AND(AL282="Mit Gehalt abgegolten (Pauschale)",AM282=""),"Überstunden-Pauschale fehlt; ","")))</f>
        <v/>
      </c>
      <c r="BH282" s="38"/>
    </row>
    <row r="283" customFormat="false" ht="15" hidden="false" customHeight="false" outlineLevel="0" collapsed="false">
      <c r="A283" s="37"/>
      <c r="B283" s="38"/>
      <c r="C283" s="38"/>
      <c r="D283" s="38"/>
      <c r="E283" s="38"/>
      <c r="F283" s="39"/>
      <c r="G283" s="38"/>
      <c r="H283" s="38"/>
      <c r="I283" s="37"/>
      <c r="J283" s="38"/>
      <c r="K283" s="38"/>
      <c r="L283" s="38"/>
      <c r="M283" s="38"/>
      <c r="N283" s="39"/>
      <c r="O283" s="39"/>
      <c r="P283" s="38"/>
      <c r="Q283" s="38"/>
      <c r="R283" s="38"/>
      <c r="S283" s="39"/>
      <c r="T283" s="39"/>
      <c r="U283" s="38"/>
      <c r="V283" s="38"/>
      <c r="W283" s="37"/>
      <c r="X283" s="38"/>
      <c r="Y283" s="38"/>
      <c r="Z283" s="37"/>
      <c r="AA283" s="38"/>
      <c r="AB283" s="38"/>
      <c r="AC283" s="40"/>
      <c r="AD283" s="41"/>
      <c r="AE283" s="42" t="str">
        <f aca="false">IF(OR(A283="",NOT(ISNUMBER(AC283)),NOT(ISNUMBER(AD283))),"",IF(AD283&gt;0,AC283/AD283,""))</f>
        <v/>
      </c>
      <c r="AF283" s="42" t="str">
        <f aca="false">IF(OR(A283="",AB283=""),"",IFERROR(INDEX(Arbeitszeitmodelle!$C$5:$C$34,MATCH(AB283,Arbeitszeitmodelle!$A$5:$A$34,0)),""))</f>
        <v/>
      </c>
      <c r="AG283" s="38"/>
      <c r="AH283" s="38"/>
      <c r="AI283" s="38"/>
      <c r="AJ283" s="41"/>
      <c r="AK283" s="41"/>
      <c r="AL283" s="38"/>
      <c r="AM283" s="41"/>
      <c r="AN283" s="38"/>
      <c r="AO283" s="38"/>
      <c r="AP283" s="38"/>
      <c r="AQ283" s="38"/>
      <c r="AR283" s="41"/>
      <c r="AS283" s="40"/>
      <c r="AT283" s="39"/>
      <c r="AU283" s="41"/>
      <c r="AV283" s="43" t="str">
        <f aca="false">IF(OR(A283="",NOT(ISNUMBER(AD283))),"",P_MinUrlaubWerktage/6*AD283)</f>
        <v/>
      </c>
      <c r="AW283" s="43" t="str">
        <f aca="false">IF(A283="","",IF(M283="Ja",P_ZusatzSB*IF(ISNUMBER(AD283),AD283,5)/5,0))</f>
        <v/>
      </c>
      <c r="AX283" s="41"/>
      <c r="AY283" s="39"/>
      <c r="AZ283" s="43" t="str">
        <f aca="false">IF(OR(A283="",NOT(ISNUMBER(AU283))),"",SUM(AU283,AW283,AX283))</f>
        <v/>
      </c>
      <c r="BA283" s="38"/>
      <c r="BB283" s="44"/>
      <c r="BC283" s="44"/>
      <c r="BD283" s="45" t="str">
        <f aca="false">IF(A283="","",IF(BA283="Stundenlohn",IF(ISNUMBER(BC283),BC283,""),IF(AND(ISNUMBER(BB283),ISNUMBER(AC283)),IF(AC283&gt;0,BB283*12/(AC283*52),""),"")))</f>
        <v/>
      </c>
      <c r="BE283" s="46" t="str">
        <f aca="false">IF(OR(A283="",NOT(ISNUMBER(F283))),"",IFERROR(DATEDIF(F283,P_Stichtag,"Y"),""))</f>
        <v/>
      </c>
      <c r="BF283" s="47" t="str">
        <f aca="false">IF(OR(A283="",NOT(ISNUMBER(BE283))),"",IF(BE283&lt;18,"Ja","Nein"))</f>
        <v/>
      </c>
      <c r="BG283" s="48" t="str">
        <f aca="false">IF(A283="","",IF((IF(OR(B283="",C283="",F283="",N283="",Q283="",AB283="",AC283="",AD283="",AU283=""),"Pflichtfelder fehlen; ","")&amp;IF(AND(ISNUMBER(AC283),AC283&gt;P_MaxWoche),"Wochenstunden &gt; Prüfgrenze; ","")&amp;IF(AND(BF283="Ja",ISNUMBER(AC283),AC283&gt;P_MaxWocheJugend),"Jugendlicher &gt; 40 h/Woche; ","")&amp;IF(AND(ISNUMBER(BD283),BD283&lt;P_Mindestlohn,Q283&lt;&gt;"Auszubildende/r",Q283&lt;&gt;"Praktikant/in"),"Mindestlohn unterschritten?; ","")&amp;IF(AND(Q283="Minijob (geringfügig)",ISNUMBER(BB283),BB283&gt;P_Minijob),"Minijob-Grenze überschritten; ","")&amp;IF(AND(R283="Ja",S283=""),"Befristung ohne Enddatum; ","")&amp;IF(AND(ISNUMBER(O283),ISNUMBER(N283),O283&lt;N283),"Austritt vor Eintritt; ","")&amp;IF(AND(ISNUMBER(AU283),ISNUMBER(AV283),AU283&lt;AV283),"Urlaub unter gesetzl. Minimum; ","")&amp;IF(AND(ISNUMBER(AC283),ISNUMBER(AF283),ABS(N(AC283)-N(AF283))&gt;0.01),"Wochenstd. weichen vom Modell ab; ","")&amp;IF(AND(AI283="Ja",OR(AJ283="",AK283="")),"Kontogrenzen fehlen; ","")&amp;IF(AND(AL283="Mit Gehalt abgegolten (Pauschale)",AM283=""),"Überstunden-Pauschale fehlt; ",""))="","OK",IF(OR(B283="",C283="",F283="",N283="",Q283="",AB283="",AC283="",AD283="",AU283=""),"Pflichtfelder fehlen; ","")&amp;IF(AND(ISNUMBER(AC283),AC283&gt;P_MaxWoche),"Wochenstunden &gt; Prüfgrenze; ","")&amp;IF(AND(BF283="Ja",ISNUMBER(AC283),AC283&gt;P_MaxWocheJugend),"Jugendlicher &gt; 40 h/Woche; ","")&amp;IF(AND(ISNUMBER(BD283),BD283&lt;P_Mindestlohn,Q283&lt;&gt;"Auszubildende/r",Q283&lt;&gt;"Praktikant/in"),"Mindestlohn unterschritten?; ","")&amp;IF(AND(Q283="Minijob (geringfügig)",ISNUMBER(BB283),BB283&gt;P_Minijob),"Minijob-Grenze überschritten; ","")&amp;IF(AND(R283="Ja",S283=""),"Befristung ohne Enddatum; ","")&amp;IF(AND(ISNUMBER(O283),ISNUMBER(N283),O283&lt;N283),"Austritt vor Eintritt; ","")&amp;IF(AND(ISNUMBER(AU283),ISNUMBER(AV283),AU283&lt;AV283),"Urlaub unter gesetzl. Minimum; ","")&amp;IF(AND(ISNUMBER(AC283),ISNUMBER(AF283),ABS(N(AC283)-N(AF283))&gt;0.01),"Wochenstd. weichen vom Modell ab; ","")&amp;IF(AND(AI283="Ja",OR(AJ283="",AK283="")),"Kontogrenzen fehlen; ","")&amp;IF(AND(AL283="Mit Gehalt abgegolten (Pauschale)",AM283=""),"Überstunden-Pauschale fehlt; ","")))</f>
        <v/>
      </c>
      <c r="BH283" s="38"/>
    </row>
    <row r="284" customFormat="false" ht="15" hidden="false" customHeight="false" outlineLevel="0" collapsed="false">
      <c r="A284" s="37"/>
      <c r="B284" s="38"/>
      <c r="C284" s="38"/>
      <c r="D284" s="38"/>
      <c r="E284" s="38"/>
      <c r="F284" s="39"/>
      <c r="G284" s="38"/>
      <c r="H284" s="38"/>
      <c r="I284" s="37"/>
      <c r="J284" s="38"/>
      <c r="K284" s="38"/>
      <c r="L284" s="38"/>
      <c r="M284" s="38"/>
      <c r="N284" s="39"/>
      <c r="O284" s="39"/>
      <c r="P284" s="38"/>
      <c r="Q284" s="38"/>
      <c r="R284" s="38"/>
      <c r="S284" s="39"/>
      <c r="T284" s="39"/>
      <c r="U284" s="38"/>
      <c r="V284" s="38"/>
      <c r="W284" s="37"/>
      <c r="X284" s="38"/>
      <c r="Y284" s="38"/>
      <c r="Z284" s="37"/>
      <c r="AA284" s="38"/>
      <c r="AB284" s="38"/>
      <c r="AC284" s="40"/>
      <c r="AD284" s="41"/>
      <c r="AE284" s="42" t="str">
        <f aca="false">IF(OR(A284="",NOT(ISNUMBER(AC284)),NOT(ISNUMBER(AD284))),"",IF(AD284&gt;0,AC284/AD284,""))</f>
        <v/>
      </c>
      <c r="AF284" s="42" t="str">
        <f aca="false">IF(OR(A284="",AB284=""),"",IFERROR(INDEX(Arbeitszeitmodelle!$C$5:$C$34,MATCH(AB284,Arbeitszeitmodelle!$A$5:$A$34,0)),""))</f>
        <v/>
      </c>
      <c r="AG284" s="38"/>
      <c r="AH284" s="38"/>
      <c r="AI284" s="38"/>
      <c r="AJ284" s="41"/>
      <c r="AK284" s="41"/>
      <c r="AL284" s="38"/>
      <c r="AM284" s="41"/>
      <c r="AN284" s="38"/>
      <c r="AO284" s="38"/>
      <c r="AP284" s="38"/>
      <c r="AQ284" s="38"/>
      <c r="AR284" s="41"/>
      <c r="AS284" s="40"/>
      <c r="AT284" s="39"/>
      <c r="AU284" s="41"/>
      <c r="AV284" s="43" t="str">
        <f aca="false">IF(OR(A284="",NOT(ISNUMBER(AD284))),"",P_MinUrlaubWerktage/6*AD284)</f>
        <v/>
      </c>
      <c r="AW284" s="43" t="str">
        <f aca="false">IF(A284="","",IF(M284="Ja",P_ZusatzSB*IF(ISNUMBER(AD284),AD284,5)/5,0))</f>
        <v/>
      </c>
      <c r="AX284" s="41"/>
      <c r="AY284" s="39"/>
      <c r="AZ284" s="43" t="str">
        <f aca="false">IF(OR(A284="",NOT(ISNUMBER(AU284))),"",SUM(AU284,AW284,AX284))</f>
        <v/>
      </c>
      <c r="BA284" s="38"/>
      <c r="BB284" s="44"/>
      <c r="BC284" s="44"/>
      <c r="BD284" s="45" t="str">
        <f aca="false">IF(A284="","",IF(BA284="Stundenlohn",IF(ISNUMBER(BC284),BC284,""),IF(AND(ISNUMBER(BB284),ISNUMBER(AC284)),IF(AC284&gt;0,BB284*12/(AC284*52),""),"")))</f>
        <v/>
      </c>
      <c r="BE284" s="46" t="str">
        <f aca="false">IF(OR(A284="",NOT(ISNUMBER(F284))),"",IFERROR(DATEDIF(F284,P_Stichtag,"Y"),""))</f>
        <v/>
      </c>
      <c r="BF284" s="47" t="str">
        <f aca="false">IF(OR(A284="",NOT(ISNUMBER(BE284))),"",IF(BE284&lt;18,"Ja","Nein"))</f>
        <v/>
      </c>
      <c r="BG284" s="48" t="str">
        <f aca="false">IF(A284="","",IF((IF(OR(B284="",C284="",F284="",N284="",Q284="",AB284="",AC284="",AD284="",AU284=""),"Pflichtfelder fehlen; ","")&amp;IF(AND(ISNUMBER(AC284),AC284&gt;P_MaxWoche),"Wochenstunden &gt; Prüfgrenze; ","")&amp;IF(AND(BF284="Ja",ISNUMBER(AC284),AC284&gt;P_MaxWocheJugend),"Jugendlicher &gt; 40 h/Woche; ","")&amp;IF(AND(ISNUMBER(BD284),BD284&lt;P_Mindestlohn,Q284&lt;&gt;"Auszubildende/r",Q284&lt;&gt;"Praktikant/in"),"Mindestlohn unterschritten?; ","")&amp;IF(AND(Q284="Minijob (geringfügig)",ISNUMBER(BB284),BB284&gt;P_Minijob),"Minijob-Grenze überschritten; ","")&amp;IF(AND(R284="Ja",S284=""),"Befristung ohne Enddatum; ","")&amp;IF(AND(ISNUMBER(O284),ISNUMBER(N284),O284&lt;N284),"Austritt vor Eintritt; ","")&amp;IF(AND(ISNUMBER(AU284),ISNUMBER(AV284),AU284&lt;AV284),"Urlaub unter gesetzl. Minimum; ","")&amp;IF(AND(ISNUMBER(AC284),ISNUMBER(AF284),ABS(N(AC284)-N(AF284))&gt;0.01),"Wochenstd. weichen vom Modell ab; ","")&amp;IF(AND(AI284="Ja",OR(AJ284="",AK284="")),"Kontogrenzen fehlen; ","")&amp;IF(AND(AL284="Mit Gehalt abgegolten (Pauschale)",AM284=""),"Überstunden-Pauschale fehlt; ",""))="","OK",IF(OR(B284="",C284="",F284="",N284="",Q284="",AB284="",AC284="",AD284="",AU284=""),"Pflichtfelder fehlen; ","")&amp;IF(AND(ISNUMBER(AC284),AC284&gt;P_MaxWoche),"Wochenstunden &gt; Prüfgrenze; ","")&amp;IF(AND(BF284="Ja",ISNUMBER(AC284),AC284&gt;P_MaxWocheJugend),"Jugendlicher &gt; 40 h/Woche; ","")&amp;IF(AND(ISNUMBER(BD284),BD284&lt;P_Mindestlohn,Q284&lt;&gt;"Auszubildende/r",Q284&lt;&gt;"Praktikant/in"),"Mindestlohn unterschritten?; ","")&amp;IF(AND(Q284="Minijob (geringfügig)",ISNUMBER(BB284),BB284&gt;P_Minijob),"Minijob-Grenze überschritten; ","")&amp;IF(AND(R284="Ja",S284=""),"Befristung ohne Enddatum; ","")&amp;IF(AND(ISNUMBER(O284),ISNUMBER(N284),O284&lt;N284),"Austritt vor Eintritt; ","")&amp;IF(AND(ISNUMBER(AU284),ISNUMBER(AV284),AU284&lt;AV284),"Urlaub unter gesetzl. Minimum; ","")&amp;IF(AND(ISNUMBER(AC284),ISNUMBER(AF284),ABS(N(AC284)-N(AF284))&gt;0.01),"Wochenstd. weichen vom Modell ab; ","")&amp;IF(AND(AI284="Ja",OR(AJ284="",AK284="")),"Kontogrenzen fehlen; ","")&amp;IF(AND(AL284="Mit Gehalt abgegolten (Pauschale)",AM284=""),"Überstunden-Pauschale fehlt; ","")))</f>
        <v/>
      </c>
      <c r="BH284" s="38"/>
    </row>
    <row r="285" customFormat="false" ht="15" hidden="false" customHeight="false" outlineLevel="0" collapsed="false">
      <c r="A285" s="37"/>
      <c r="B285" s="38"/>
      <c r="C285" s="38"/>
      <c r="D285" s="38"/>
      <c r="E285" s="38"/>
      <c r="F285" s="39"/>
      <c r="G285" s="38"/>
      <c r="H285" s="38"/>
      <c r="I285" s="37"/>
      <c r="J285" s="38"/>
      <c r="K285" s="38"/>
      <c r="L285" s="38"/>
      <c r="M285" s="38"/>
      <c r="N285" s="39"/>
      <c r="O285" s="39"/>
      <c r="P285" s="38"/>
      <c r="Q285" s="38"/>
      <c r="R285" s="38"/>
      <c r="S285" s="39"/>
      <c r="T285" s="39"/>
      <c r="U285" s="38"/>
      <c r="V285" s="38"/>
      <c r="W285" s="37"/>
      <c r="X285" s="38"/>
      <c r="Y285" s="38"/>
      <c r="Z285" s="37"/>
      <c r="AA285" s="38"/>
      <c r="AB285" s="38"/>
      <c r="AC285" s="40"/>
      <c r="AD285" s="41"/>
      <c r="AE285" s="42" t="str">
        <f aca="false">IF(OR(A285="",NOT(ISNUMBER(AC285)),NOT(ISNUMBER(AD285))),"",IF(AD285&gt;0,AC285/AD285,""))</f>
        <v/>
      </c>
      <c r="AF285" s="42" t="str">
        <f aca="false">IF(OR(A285="",AB285=""),"",IFERROR(INDEX(Arbeitszeitmodelle!$C$5:$C$34,MATCH(AB285,Arbeitszeitmodelle!$A$5:$A$34,0)),""))</f>
        <v/>
      </c>
      <c r="AG285" s="38"/>
      <c r="AH285" s="38"/>
      <c r="AI285" s="38"/>
      <c r="AJ285" s="41"/>
      <c r="AK285" s="41"/>
      <c r="AL285" s="38"/>
      <c r="AM285" s="41"/>
      <c r="AN285" s="38"/>
      <c r="AO285" s="38"/>
      <c r="AP285" s="38"/>
      <c r="AQ285" s="38"/>
      <c r="AR285" s="41"/>
      <c r="AS285" s="40"/>
      <c r="AT285" s="39"/>
      <c r="AU285" s="41"/>
      <c r="AV285" s="43" t="str">
        <f aca="false">IF(OR(A285="",NOT(ISNUMBER(AD285))),"",P_MinUrlaubWerktage/6*AD285)</f>
        <v/>
      </c>
      <c r="AW285" s="43" t="str">
        <f aca="false">IF(A285="","",IF(M285="Ja",P_ZusatzSB*IF(ISNUMBER(AD285),AD285,5)/5,0))</f>
        <v/>
      </c>
      <c r="AX285" s="41"/>
      <c r="AY285" s="39"/>
      <c r="AZ285" s="43" t="str">
        <f aca="false">IF(OR(A285="",NOT(ISNUMBER(AU285))),"",SUM(AU285,AW285,AX285))</f>
        <v/>
      </c>
      <c r="BA285" s="38"/>
      <c r="BB285" s="44"/>
      <c r="BC285" s="44"/>
      <c r="BD285" s="45" t="str">
        <f aca="false">IF(A285="","",IF(BA285="Stundenlohn",IF(ISNUMBER(BC285),BC285,""),IF(AND(ISNUMBER(BB285),ISNUMBER(AC285)),IF(AC285&gt;0,BB285*12/(AC285*52),""),"")))</f>
        <v/>
      </c>
      <c r="BE285" s="46" t="str">
        <f aca="false">IF(OR(A285="",NOT(ISNUMBER(F285))),"",IFERROR(DATEDIF(F285,P_Stichtag,"Y"),""))</f>
        <v/>
      </c>
      <c r="BF285" s="47" t="str">
        <f aca="false">IF(OR(A285="",NOT(ISNUMBER(BE285))),"",IF(BE285&lt;18,"Ja","Nein"))</f>
        <v/>
      </c>
      <c r="BG285" s="48" t="str">
        <f aca="false">IF(A285="","",IF((IF(OR(B285="",C285="",F285="",N285="",Q285="",AB285="",AC285="",AD285="",AU285=""),"Pflichtfelder fehlen; ","")&amp;IF(AND(ISNUMBER(AC285),AC285&gt;P_MaxWoche),"Wochenstunden &gt; Prüfgrenze; ","")&amp;IF(AND(BF285="Ja",ISNUMBER(AC285),AC285&gt;P_MaxWocheJugend),"Jugendlicher &gt; 40 h/Woche; ","")&amp;IF(AND(ISNUMBER(BD285),BD285&lt;P_Mindestlohn,Q285&lt;&gt;"Auszubildende/r",Q285&lt;&gt;"Praktikant/in"),"Mindestlohn unterschritten?; ","")&amp;IF(AND(Q285="Minijob (geringfügig)",ISNUMBER(BB285),BB285&gt;P_Minijob),"Minijob-Grenze überschritten; ","")&amp;IF(AND(R285="Ja",S285=""),"Befristung ohne Enddatum; ","")&amp;IF(AND(ISNUMBER(O285),ISNUMBER(N285),O285&lt;N285),"Austritt vor Eintritt; ","")&amp;IF(AND(ISNUMBER(AU285),ISNUMBER(AV285),AU285&lt;AV285),"Urlaub unter gesetzl. Minimum; ","")&amp;IF(AND(ISNUMBER(AC285),ISNUMBER(AF285),ABS(N(AC285)-N(AF285))&gt;0.01),"Wochenstd. weichen vom Modell ab; ","")&amp;IF(AND(AI285="Ja",OR(AJ285="",AK285="")),"Kontogrenzen fehlen; ","")&amp;IF(AND(AL285="Mit Gehalt abgegolten (Pauschale)",AM285=""),"Überstunden-Pauschale fehlt; ",""))="","OK",IF(OR(B285="",C285="",F285="",N285="",Q285="",AB285="",AC285="",AD285="",AU285=""),"Pflichtfelder fehlen; ","")&amp;IF(AND(ISNUMBER(AC285),AC285&gt;P_MaxWoche),"Wochenstunden &gt; Prüfgrenze; ","")&amp;IF(AND(BF285="Ja",ISNUMBER(AC285),AC285&gt;P_MaxWocheJugend),"Jugendlicher &gt; 40 h/Woche; ","")&amp;IF(AND(ISNUMBER(BD285),BD285&lt;P_Mindestlohn,Q285&lt;&gt;"Auszubildende/r",Q285&lt;&gt;"Praktikant/in"),"Mindestlohn unterschritten?; ","")&amp;IF(AND(Q285="Minijob (geringfügig)",ISNUMBER(BB285),BB285&gt;P_Minijob),"Minijob-Grenze überschritten; ","")&amp;IF(AND(R285="Ja",S285=""),"Befristung ohne Enddatum; ","")&amp;IF(AND(ISNUMBER(O285),ISNUMBER(N285),O285&lt;N285),"Austritt vor Eintritt; ","")&amp;IF(AND(ISNUMBER(AU285),ISNUMBER(AV285),AU285&lt;AV285),"Urlaub unter gesetzl. Minimum; ","")&amp;IF(AND(ISNUMBER(AC285),ISNUMBER(AF285),ABS(N(AC285)-N(AF285))&gt;0.01),"Wochenstd. weichen vom Modell ab; ","")&amp;IF(AND(AI285="Ja",OR(AJ285="",AK285="")),"Kontogrenzen fehlen; ","")&amp;IF(AND(AL285="Mit Gehalt abgegolten (Pauschale)",AM285=""),"Überstunden-Pauschale fehlt; ","")))</f>
        <v/>
      </c>
      <c r="BH285" s="38"/>
    </row>
    <row r="286" customFormat="false" ht="15" hidden="false" customHeight="false" outlineLevel="0" collapsed="false">
      <c r="A286" s="37"/>
      <c r="B286" s="38"/>
      <c r="C286" s="38"/>
      <c r="D286" s="38"/>
      <c r="E286" s="38"/>
      <c r="F286" s="39"/>
      <c r="G286" s="38"/>
      <c r="H286" s="38"/>
      <c r="I286" s="37"/>
      <c r="J286" s="38"/>
      <c r="K286" s="38"/>
      <c r="L286" s="38"/>
      <c r="M286" s="38"/>
      <c r="N286" s="39"/>
      <c r="O286" s="39"/>
      <c r="P286" s="38"/>
      <c r="Q286" s="38"/>
      <c r="R286" s="38"/>
      <c r="S286" s="39"/>
      <c r="T286" s="39"/>
      <c r="U286" s="38"/>
      <c r="V286" s="38"/>
      <c r="W286" s="37"/>
      <c r="X286" s="38"/>
      <c r="Y286" s="38"/>
      <c r="Z286" s="37"/>
      <c r="AA286" s="38"/>
      <c r="AB286" s="38"/>
      <c r="AC286" s="40"/>
      <c r="AD286" s="41"/>
      <c r="AE286" s="42" t="str">
        <f aca="false">IF(OR(A286="",NOT(ISNUMBER(AC286)),NOT(ISNUMBER(AD286))),"",IF(AD286&gt;0,AC286/AD286,""))</f>
        <v/>
      </c>
      <c r="AF286" s="42" t="str">
        <f aca="false">IF(OR(A286="",AB286=""),"",IFERROR(INDEX(Arbeitszeitmodelle!$C$5:$C$34,MATCH(AB286,Arbeitszeitmodelle!$A$5:$A$34,0)),""))</f>
        <v/>
      </c>
      <c r="AG286" s="38"/>
      <c r="AH286" s="38"/>
      <c r="AI286" s="38"/>
      <c r="AJ286" s="41"/>
      <c r="AK286" s="41"/>
      <c r="AL286" s="38"/>
      <c r="AM286" s="41"/>
      <c r="AN286" s="38"/>
      <c r="AO286" s="38"/>
      <c r="AP286" s="38"/>
      <c r="AQ286" s="38"/>
      <c r="AR286" s="41"/>
      <c r="AS286" s="40"/>
      <c r="AT286" s="39"/>
      <c r="AU286" s="41"/>
      <c r="AV286" s="43" t="str">
        <f aca="false">IF(OR(A286="",NOT(ISNUMBER(AD286))),"",P_MinUrlaubWerktage/6*AD286)</f>
        <v/>
      </c>
      <c r="AW286" s="43" t="str">
        <f aca="false">IF(A286="","",IF(M286="Ja",P_ZusatzSB*IF(ISNUMBER(AD286),AD286,5)/5,0))</f>
        <v/>
      </c>
      <c r="AX286" s="41"/>
      <c r="AY286" s="39"/>
      <c r="AZ286" s="43" t="str">
        <f aca="false">IF(OR(A286="",NOT(ISNUMBER(AU286))),"",SUM(AU286,AW286,AX286))</f>
        <v/>
      </c>
      <c r="BA286" s="38"/>
      <c r="BB286" s="44"/>
      <c r="BC286" s="44"/>
      <c r="BD286" s="45" t="str">
        <f aca="false">IF(A286="","",IF(BA286="Stundenlohn",IF(ISNUMBER(BC286),BC286,""),IF(AND(ISNUMBER(BB286),ISNUMBER(AC286)),IF(AC286&gt;0,BB286*12/(AC286*52),""),"")))</f>
        <v/>
      </c>
      <c r="BE286" s="46" t="str">
        <f aca="false">IF(OR(A286="",NOT(ISNUMBER(F286))),"",IFERROR(DATEDIF(F286,P_Stichtag,"Y"),""))</f>
        <v/>
      </c>
      <c r="BF286" s="47" t="str">
        <f aca="false">IF(OR(A286="",NOT(ISNUMBER(BE286))),"",IF(BE286&lt;18,"Ja","Nein"))</f>
        <v/>
      </c>
      <c r="BG286" s="48" t="str">
        <f aca="false">IF(A286="","",IF((IF(OR(B286="",C286="",F286="",N286="",Q286="",AB286="",AC286="",AD286="",AU286=""),"Pflichtfelder fehlen; ","")&amp;IF(AND(ISNUMBER(AC286),AC286&gt;P_MaxWoche),"Wochenstunden &gt; Prüfgrenze; ","")&amp;IF(AND(BF286="Ja",ISNUMBER(AC286),AC286&gt;P_MaxWocheJugend),"Jugendlicher &gt; 40 h/Woche; ","")&amp;IF(AND(ISNUMBER(BD286),BD286&lt;P_Mindestlohn,Q286&lt;&gt;"Auszubildende/r",Q286&lt;&gt;"Praktikant/in"),"Mindestlohn unterschritten?; ","")&amp;IF(AND(Q286="Minijob (geringfügig)",ISNUMBER(BB286),BB286&gt;P_Minijob),"Minijob-Grenze überschritten; ","")&amp;IF(AND(R286="Ja",S286=""),"Befristung ohne Enddatum; ","")&amp;IF(AND(ISNUMBER(O286),ISNUMBER(N286),O286&lt;N286),"Austritt vor Eintritt; ","")&amp;IF(AND(ISNUMBER(AU286),ISNUMBER(AV286),AU286&lt;AV286),"Urlaub unter gesetzl. Minimum; ","")&amp;IF(AND(ISNUMBER(AC286),ISNUMBER(AF286),ABS(N(AC286)-N(AF286))&gt;0.01),"Wochenstd. weichen vom Modell ab; ","")&amp;IF(AND(AI286="Ja",OR(AJ286="",AK286="")),"Kontogrenzen fehlen; ","")&amp;IF(AND(AL286="Mit Gehalt abgegolten (Pauschale)",AM286=""),"Überstunden-Pauschale fehlt; ",""))="","OK",IF(OR(B286="",C286="",F286="",N286="",Q286="",AB286="",AC286="",AD286="",AU286=""),"Pflichtfelder fehlen; ","")&amp;IF(AND(ISNUMBER(AC286),AC286&gt;P_MaxWoche),"Wochenstunden &gt; Prüfgrenze; ","")&amp;IF(AND(BF286="Ja",ISNUMBER(AC286),AC286&gt;P_MaxWocheJugend),"Jugendlicher &gt; 40 h/Woche; ","")&amp;IF(AND(ISNUMBER(BD286),BD286&lt;P_Mindestlohn,Q286&lt;&gt;"Auszubildende/r",Q286&lt;&gt;"Praktikant/in"),"Mindestlohn unterschritten?; ","")&amp;IF(AND(Q286="Minijob (geringfügig)",ISNUMBER(BB286),BB286&gt;P_Minijob),"Minijob-Grenze überschritten; ","")&amp;IF(AND(R286="Ja",S286=""),"Befristung ohne Enddatum; ","")&amp;IF(AND(ISNUMBER(O286),ISNUMBER(N286),O286&lt;N286),"Austritt vor Eintritt; ","")&amp;IF(AND(ISNUMBER(AU286),ISNUMBER(AV286),AU286&lt;AV286),"Urlaub unter gesetzl. Minimum; ","")&amp;IF(AND(ISNUMBER(AC286),ISNUMBER(AF286),ABS(N(AC286)-N(AF286))&gt;0.01),"Wochenstd. weichen vom Modell ab; ","")&amp;IF(AND(AI286="Ja",OR(AJ286="",AK286="")),"Kontogrenzen fehlen; ","")&amp;IF(AND(AL286="Mit Gehalt abgegolten (Pauschale)",AM286=""),"Überstunden-Pauschale fehlt; ","")))</f>
        <v/>
      </c>
      <c r="BH286" s="38"/>
    </row>
    <row r="287" customFormat="false" ht="15" hidden="false" customHeight="false" outlineLevel="0" collapsed="false">
      <c r="A287" s="37"/>
      <c r="B287" s="38"/>
      <c r="C287" s="38"/>
      <c r="D287" s="38"/>
      <c r="E287" s="38"/>
      <c r="F287" s="39"/>
      <c r="G287" s="38"/>
      <c r="H287" s="38"/>
      <c r="I287" s="37"/>
      <c r="J287" s="38"/>
      <c r="K287" s="38"/>
      <c r="L287" s="38"/>
      <c r="M287" s="38"/>
      <c r="N287" s="39"/>
      <c r="O287" s="39"/>
      <c r="P287" s="38"/>
      <c r="Q287" s="38"/>
      <c r="R287" s="38"/>
      <c r="S287" s="39"/>
      <c r="T287" s="39"/>
      <c r="U287" s="38"/>
      <c r="V287" s="38"/>
      <c r="W287" s="37"/>
      <c r="X287" s="38"/>
      <c r="Y287" s="38"/>
      <c r="Z287" s="37"/>
      <c r="AA287" s="38"/>
      <c r="AB287" s="38"/>
      <c r="AC287" s="40"/>
      <c r="AD287" s="41"/>
      <c r="AE287" s="42" t="str">
        <f aca="false">IF(OR(A287="",NOT(ISNUMBER(AC287)),NOT(ISNUMBER(AD287))),"",IF(AD287&gt;0,AC287/AD287,""))</f>
        <v/>
      </c>
      <c r="AF287" s="42" t="str">
        <f aca="false">IF(OR(A287="",AB287=""),"",IFERROR(INDEX(Arbeitszeitmodelle!$C$5:$C$34,MATCH(AB287,Arbeitszeitmodelle!$A$5:$A$34,0)),""))</f>
        <v/>
      </c>
      <c r="AG287" s="38"/>
      <c r="AH287" s="38"/>
      <c r="AI287" s="38"/>
      <c r="AJ287" s="41"/>
      <c r="AK287" s="41"/>
      <c r="AL287" s="38"/>
      <c r="AM287" s="41"/>
      <c r="AN287" s="38"/>
      <c r="AO287" s="38"/>
      <c r="AP287" s="38"/>
      <c r="AQ287" s="38"/>
      <c r="AR287" s="41"/>
      <c r="AS287" s="40"/>
      <c r="AT287" s="39"/>
      <c r="AU287" s="41"/>
      <c r="AV287" s="43" t="str">
        <f aca="false">IF(OR(A287="",NOT(ISNUMBER(AD287))),"",P_MinUrlaubWerktage/6*AD287)</f>
        <v/>
      </c>
      <c r="AW287" s="43" t="str">
        <f aca="false">IF(A287="","",IF(M287="Ja",P_ZusatzSB*IF(ISNUMBER(AD287),AD287,5)/5,0))</f>
        <v/>
      </c>
      <c r="AX287" s="41"/>
      <c r="AY287" s="39"/>
      <c r="AZ287" s="43" t="str">
        <f aca="false">IF(OR(A287="",NOT(ISNUMBER(AU287))),"",SUM(AU287,AW287,AX287))</f>
        <v/>
      </c>
      <c r="BA287" s="38"/>
      <c r="BB287" s="44"/>
      <c r="BC287" s="44"/>
      <c r="BD287" s="45" t="str">
        <f aca="false">IF(A287="","",IF(BA287="Stundenlohn",IF(ISNUMBER(BC287),BC287,""),IF(AND(ISNUMBER(BB287),ISNUMBER(AC287)),IF(AC287&gt;0,BB287*12/(AC287*52),""),"")))</f>
        <v/>
      </c>
      <c r="BE287" s="46" t="str">
        <f aca="false">IF(OR(A287="",NOT(ISNUMBER(F287))),"",IFERROR(DATEDIF(F287,P_Stichtag,"Y"),""))</f>
        <v/>
      </c>
      <c r="BF287" s="47" t="str">
        <f aca="false">IF(OR(A287="",NOT(ISNUMBER(BE287))),"",IF(BE287&lt;18,"Ja","Nein"))</f>
        <v/>
      </c>
      <c r="BG287" s="48" t="str">
        <f aca="false">IF(A287="","",IF((IF(OR(B287="",C287="",F287="",N287="",Q287="",AB287="",AC287="",AD287="",AU287=""),"Pflichtfelder fehlen; ","")&amp;IF(AND(ISNUMBER(AC287),AC287&gt;P_MaxWoche),"Wochenstunden &gt; Prüfgrenze; ","")&amp;IF(AND(BF287="Ja",ISNUMBER(AC287),AC287&gt;P_MaxWocheJugend),"Jugendlicher &gt; 40 h/Woche; ","")&amp;IF(AND(ISNUMBER(BD287),BD287&lt;P_Mindestlohn,Q287&lt;&gt;"Auszubildende/r",Q287&lt;&gt;"Praktikant/in"),"Mindestlohn unterschritten?; ","")&amp;IF(AND(Q287="Minijob (geringfügig)",ISNUMBER(BB287),BB287&gt;P_Minijob),"Minijob-Grenze überschritten; ","")&amp;IF(AND(R287="Ja",S287=""),"Befristung ohne Enddatum; ","")&amp;IF(AND(ISNUMBER(O287),ISNUMBER(N287),O287&lt;N287),"Austritt vor Eintritt; ","")&amp;IF(AND(ISNUMBER(AU287),ISNUMBER(AV287),AU287&lt;AV287),"Urlaub unter gesetzl. Minimum; ","")&amp;IF(AND(ISNUMBER(AC287),ISNUMBER(AF287),ABS(N(AC287)-N(AF287))&gt;0.01),"Wochenstd. weichen vom Modell ab; ","")&amp;IF(AND(AI287="Ja",OR(AJ287="",AK287="")),"Kontogrenzen fehlen; ","")&amp;IF(AND(AL287="Mit Gehalt abgegolten (Pauschale)",AM287=""),"Überstunden-Pauschale fehlt; ",""))="","OK",IF(OR(B287="",C287="",F287="",N287="",Q287="",AB287="",AC287="",AD287="",AU287=""),"Pflichtfelder fehlen; ","")&amp;IF(AND(ISNUMBER(AC287),AC287&gt;P_MaxWoche),"Wochenstunden &gt; Prüfgrenze; ","")&amp;IF(AND(BF287="Ja",ISNUMBER(AC287),AC287&gt;P_MaxWocheJugend),"Jugendlicher &gt; 40 h/Woche; ","")&amp;IF(AND(ISNUMBER(BD287),BD287&lt;P_Mindestlohn,Q287&lt;&gt;"Auszubildende/r",Q287&lt;&gt;"Praktikant/in"),"Mindestlohn unterschritten?; ","")&amp;IF(AND(Q287="Minijob (geringfügig)",ISNUMBER(BB287),BB287&gt;P_Minijob),"Minijob-Grenze überschritten; ","")&amp;IF(AND(R287="Ja",S287=""),"Befristung ohne Enddatum; ","")&amp;IF(AND(ISNUMBER(O287),ISNUMBER(N287),O287&lt;N287),"Austritt vor Eintritt; ","")&amp;IF(AND(ISNUMBER(AU287),ISNUMBER(AV287),AU287&lt;AV287),"Urlaub unter gesetzl. Minimum; ","")&amp;IF(AND(ISNUMBER(AC287),ISNUMBER(AF287),ABS(N(AC287)-N(AF287))&gt;0.01),"Wochenstd. weichen vom Modell ab; ","")&amp;IF(AND(AI287="Ja",OR(AJ287="",AK287="")),"Kontogrenzen fehlen; ","")&amp;IF(AND(AL287="Mit Gehalt abgegolten (Pauschale)",AM287=""),"Überstunden-Pauschale fehlt; ","")))</f>
        <v/>
      </c>
      <c r="BH287" s="38"/>
    </row>
    <row r="288" customFormat="false" ht="15" hidden="false" customHeight="false" outlineLevel="0" collapsed="false">
      <c r="A288" s="37"/>
      <c r="B288" s="38"/>
      <c r="C288" s="38"/>
      <c r="D288" s="38"/>
      <c r="E288" s="38"/>
      <c r="F288" s="39"/>
      <c r="G288" s="38"/>
      <c r="H288" s="38"/>
      <c r="I288" s="37"/>
      <c r="J288" s="38"/>
      <c r="K288" s="38"/>
      <c r="L288" s="38"/>
      <c r="M288" s="38"/>
      <c r="N288" s="39"/>
      <c r="O288" s="39"/>
      <c r="P288" s="38"/>
      <c r="Q288" s="38"/>
      <c r="R288" s="38"/>
      <c r="S288" s="39"/>
      <c r="T288" s="39"/>
      <c r="U288" s="38"/>
      <c r="V288" s="38"/>
      <c r="W288" s="37"/>
      <c r="X288" s="38"/>
      <c r="Y288" s="38"/>
      <c r="Z288" s="37"/>
      <c r="AA288" s="38"/>
      <c r="AB288" s="38"/>
      <c r="AC288" s="40"/>
      <c r="AD288" s="41"/>
      <c r="AE288" s="42" t="str">
        <f aca="false">IF(OR(A288="",NOT(ISNUMBER(AC288)),NOT(ISNUMBER(AD288))),"",IF(AD288&gt;0,AC288/AD288,""))</f>
        <v/>
      </c>
      <c r="AF288" s="42" t="str">
        <f aca="false">IF(OR(A288="",AB288=""),"",IFERROR(INDEX(Arbeitszeitmodelle!$C$5:$C$34,MATCH(AB288,Arbeitszeitmodelle!$A$5:$A$34,0)),""))</f>
        <v/>
      </c>
      <c r="AG288" s="38"/>
      <c r="AH288" s="38"/>
      <c r="AI288" s="38"/>
      <c r="AJ288" s="41"/>
      <c r="AK288" s="41"/>
      <c r="AL288" s="38"/>
      <c r="AM288" s="41"/>
      <c r="AN288" s="38"/>
      <c r="AO288" s="38"/>
      <c r="AP288" s="38"/>
      <c r="AQ288" s="38"/>
      <c r="AR288" s="41"/>
      <c r="AS288" s="40"/>
      <c r="AT288" s="39"/>
      <c r="AU288" s="41"/>
      <c r="AV288" s="43" t="str">
        <f aca="false">IF(OR(A288="",NOT(ISNUMBER(AD288))),"",P_MinUrlaubWerktage/6*AD288)</f>
        <v/>
      </c>
      <c r="AW288" s="43" t="str">
        <f aca="false">IF(A288="","",IF(M288="Ja",P_ZusatzSB*IF(ISNUMBER(AD288),AD288,5)/5,0))</f>
        <v/>
      </c>
      <c r="AX288" s="41"/>
      <c r="AY288" s="39"/>
      <c r="AZ288" s="43" t="str">
        <f aca="false">IF(OR(A288="",NOT(ISNUMBER(AU288))),"",SUM(AU288,AW288,AX288))</f>
        <v/>
      </c>
      <c r="BA288" s="38"/>
      <c r="BB288" s="44"/>
      <c r="BC288" s="44"/>
      <c r="BD288" s="45" t="str">
        <f aca="false">IF(A288="","",IF(BA288="Stundenlohn",IF(ISNUMBER(BC288),BC288,""),IF(AND(ISNUMBER(BB288),ISNUMBER(AC288)),IF(AC288&gt;0,BB288*12/(AC288*52),""),"")))</f>
        <v/>
      </c>
      <c r="BE288" s="46" t="str">
        <f aca="false">IF(OR(A288="",NOT(ISNUMBER(F288))),"",IFERROR(DATEDIF(F288,P_Stichtag,"Y"),""))</f>
        <v/>
      </c>
      <c r="BF288" s="47" t="str">
        <f aca="false">IF(OR(A288="",NOT(ISNUMBER(BE288))),"",IF(BE288&lt;18,"Ja","Nein"))</f>
        <v/>
      </c>
      <c r="BG288" s="48" t="str">
        <f aca="false">IF(A288="","",IF((IF(OR(B288="",C288="",F288="",N288="",Q288="",AB288="",AC288="",AD288="",AU288=""),"Pflichtfelder fehlen; ","")&amp;IF(AND(ISNUMBER(AC288),AC288&gt;P_MaxWoche),"Wochenstunden &gt; Prüfgrenze; ","")&amp;IF(AND(BF288="Ja",ISNUMBER(AC288),AC288&gt;P_MaxWocheJugend),"Jugendlicher &gt; 40 h/Woche; ","")&amp;IF(AND(ISNUMBER(BD288),BD288&lt;P_Mindestlohn,Q288&lt;&gt;"Auszubildende/r",Q288&lt;&gt;"Praktikant/in"),"Mindestlohn unterschritten?; ","")&amp;IF(AND(Q288="Minijob (geringfügig)",ISNUMBER(BB288),BB288&gt;P_Minijob),"Minijob-Grenze überschritten; ","")&amp;IF(AND(R288="Ja",S288=""),"Befristung ohne Enddatum; ","")&amp;IF(AND(ISNUMBER(O288),ISNUMBER(N288),O288&lt;N288),"Austritt vor Eintritt; ","")&amp;IF(AND(ISNUMBER(AU288),ISNUMBER(AV288),AU288&lt;AV288),"Urlaub unter gesetzl. Minimum; ","")&amp;IF(AND(ISNUMBER(AC288),ISNUMBER(AF288),ABS(N(AC288)-N(AF288))&gt;0.01),"Wochenstd. weichen vom Modell ab; ","")&amp;IF(AND(AI288="Ja",OR(AJ288="",AK288="")),"Kontogrenzen fehlen; ","")&amp;IF(AND(AL288="Mit Gehalt abgegolten (Pauschale)",AM288=""),"Überstunden-Pauschale fehlt; ",""))="","OK",IF(OR(B288="",C288="",F288="",N288="",Q288="",AB288="",AC288="",AD288="",AU288=""),"Pflichtfelder fehlen; ","")&amp;IF(AND(ISNUMBER(AC288),AC288&gt;P_MaxWoche),"Wochenstunden &gt; Prüfgrenze; ","")&amp;IF(AND(BF288="Ja",ISNUMBER(AC288),AC288&gt;P_MaxWocheJugend),"Jugendlicher &gt; 40 h/Woche; ","")&amp;IF(AND(ISNUMBER(BD288),BD288&lt;P_Mindestlohn,Q288&lt;&gt;"Auszubildende/r",Q288&lt;&gt;"Praktikant/in"),"Mindestlohn unterschritten?; ","")&amp;IF(AND(Q288="Minijob (geringfügig)",ISNUMBER(BB288),BB288&gt;P_Minijob),"Minijob-Grenze überschritten; ","")&amp;IF(AND(R288="Ja",S288=""),"Befristung ohne Enddatum; ","")&amp;IF(AND(ISNUMBER(O288),ISNUMBER(N288),O288&lt;N288),"Austritt vor Eintritt; ","")&amp;IF(AND(ISNUMBER(AU288),ISNUMBER(AV288),AU288&lt;AV288),"Urlaub unter gesetzl. Minimum; ","")&amp;IF(AND(ISNUMBER(AC288),ISNUMBER(AF288),ABS(N(AC288)-N(AF288))&gt;0.01),"Wochenstd. weichen vom Modell ab; ","")&amp;IF(AND(AI288="Ja",OR(AJ288="",AK288="")),"Kontogrenzen fehlen; ","")&amp;IF(AND(AL288="Mit Gehalt abgegolten (Pauschale)",AM288=""),"Überstunden-Pauschale fehlt; ","")))</f>
        <v/>
      </c>
      <c r="BH288" s="38"/>
    </row>
    <row r="289" customFormat="false" ht="15" hidden="false" customHeight="false" outlineLevel="0" collapsed="false">
      <c r="A289" s="37"/>
      <c r="B289" s="38"/>
      <c r="C289" s="38"/>
      <c r="D289" s="38"/>
      <c r="E289" s="38"/>
      <c r="F289" s="39"/>
      <c r="G289" s="38"/>
      <c r="H289" s="38"/>
      <c r="I289" s="37"/>
      <c r="J289" s="38"/>
      <c r="K289" s="38"/>
      <c r="L289" s="38"/>
      <c r="M289" s="38"/>
      <c r="N289" s="39"/>
      <c r="O289" s="39"/>
      <c r="P289" s="38"/>
      <c r="Q289" s="38"/>
      <c r="R289" s="38"/>
      <c r="S289" s="39"/>
      <c r="T289" s="39"/>
      <c r="U289" s="38"/>
      <c r="V289" s="38"/>
      <c r="W289" s="37"/>
      <c r="X289" s="38"/>
      <c r="Y289" s="38"/>
      <c r="Z289" s="37"/>
      <c r="AA289" s="38"/>
      <c r="AB289" s="38"/>
      <c r="AC289" s="40"/>
      <c r="AD289" s="41"/>
      <c r="AE289" s="42" t="str">
        <f aca="false">IF(OR(A289="",NOT(ISNUMBER(AC289)),NOT(ISNUMBER(AD289))),"",IF(AD289&gt;0,AC289/AD289,""))</f>
        <v/>
      </c>
      <c r="AF289" s="42" t="str">
        <f aca="false">IF(OR(A289="",AB289=""),"",IFERROR(INDEX(Arbeitszeitmodelle!$C$5:$C$34,MATCH(AB289,Arbeitszeitmodelle!$A$5:$A$34,0)),""))</f>
        <v/>
      </c>
      <c r="AG289" s="38"/>
      <c r="AH289" s="38"/>
      <c r="AI289" s="38"/>
      <c r="AJ289" s="41"/>
      <c r="AK289" s="41"/>
      <c r="AL289" s="38"/>
      <c r="AM289" s="41"/>
      <c r="AN289" s="38"/>
      <c r="AO289" s="38"/>
      <c r="AP289" s="38"/>
      <c r="AQ289" s="38"/>
      <c r="AR289" s="41"/>
      <c r="AS289" s="40"/>
      <c r="AT289" s="39"/>
      <c r="AU289" s="41"/>
      <c r="AV289" s="43" t="str">
        <f aca="false">IF(OR(A289="",NOT(ISNUMBER(AD289))),"",P_MinUrlaubWerktage/6*AD289)</f>
        <v/>
      </c>
      <c r="AW289" s="43" t="str">
        <f aca="false">IF(A289="","",IF(M289="Ja",P_ZusatzSB*IF(ISNUMBER(AD289),AD289,5)/5,0))</f>
        <v/>
      </c>
      <c r="AX289" s="41"/>
      <c r="AY289" s="39"/>
      <c r="AZ289" s="43" t="str">
        <f aca="false">IF(OR(A289="",NOT(ISNUMBER(AU289))),"",SUM(AU289,AW289,AX289))</f>
        <v/>
      </c>
      <c r="BA289" s="38"/>
      <c r="BB289" s="44"/>
      <c r="BC289" s="44"/>
      <c r="BD289" s="45" t="str">
        <f aca="false">IF(A289="","",IF(BA289="Stundenlohn",IF(ISNUMBER(BC289),BC289,""),IF(AND(ISNUMBER(BB289),ISNUMBER(AC289)),IF(AC289&gt;0,BB289*12/(AC289*52),""),"")))</f>
        <v/>
      </c>
      <c r="BE289" s="46" t="str">
        <f aca="false">IF(OR(A289="",NOT(ISNUMBER(F289))),"",IFERROR(DATEDIF(F289,P_Stichtag,"Y"),""))</f>
        <v/>
      </c>
      <c r="BF289" s="47" t="str">
        <f aca="false">IF(OR(A289="",NOT(ISNUMBER(BE289))),"",IF(BE289&lt;18,"Ja","Nein"))</f>
        <v/>
      </c>
      <c r="BG289" s="48" t="str">
        <f aca="false">IF(A289="","",IF((IF(OR(B289="",C289="",F289="",N289="",Q289="",AB289="",AC289="",AD289="",AU289=""),"Pflichtfelder fehlen; ","")&amp;IF(AND(ISNUMBER(AC289),AC289&gt;P_MaxWoche),"Wochenstunden &gt; Prüfgrenze; ","")&amp;IF(AND(BF289="Ja",ISNUMBER(AC289),AC289&gt;P_MaxWocheJugend),"Jugendlicher &gt; 40 h/Woche; ","")&amp;IF(AND(ISNUMBER(BD289),BD289&lt;P_Mindestlohn,Q289&lt;&gt;"Auszubildende/r",Q289&lt;&gt;"Praktikant/in"),"Mindestlohn unterschritten?; ","")&amp;IF(AND(Q289="Minijob (geringfügig)",ISNUMBER(BB289),BB289&gt;P_Minijob),"Minijob-Grenze überschritten; ","")&amp;IF(AND(R289="Ja",S289=""),"Befristung ohne Enddatum; ","")&amp;IF(AND(ISNUMBER(O289),ISNUMBER(N289),O289&lt;N289),"Austritt vor Eintritt; ","")&amp;IF(AND(ISNUMBER(AU289),ISNUMBER(AV289),AU289&lt;AV289),"Urlaub unter gesetzl. Minimum; ","")&amp;IF(AND(ISNUMBER(AC289),ISNUMBER(AF289),ABS(N(AC289)-N(AF289))&gt;0.01),"Wochenstd. weichen vom Modell ab; ","")&amp;IF(AND(AI289="Ja",OR(AJ289="",AK289="")),"Kontogrenzen fehlen; ","")&amp;IF(AND(AL289="Mit Gehalt abgegolten (Pauschale)",AM289=""),"Überstunden-Pauschale fehlt; ",""))="","OK",IF(OR(B289="",C289="",F289="",N289="",Q289="",AB289="",AC289="",AD289="",AU289=""),"Pflichtfelder fehlen; ","")&amp;IF(AND(ISNUMBER(AC289),AC289&gt;P_MaxWoche),"Wochenstunden &gt; Prüfgrenze; ","")&amp;IF(AND(BF289="Ja",ISNUMBER(AC289),AC289&gt;P_MaxWocheJugend),"Jugendlicher &gt; 40 h/Woche; ","")&amp;IF(AND(ISNUMBER(BD289),BD289&lt;P_Mindestlohn,Q289&lt;&gt;"Auszubildende/r",Q289&lt;&gt;"Praktikant/in"),"Mindestlohn unterschritten?; ","")&amp;IF(AND(Q289="Minijob (geringfügig)",ISNUMBER(BB289),BB289&gt;P_Minijob),"Minijob-Grenze überschritten; ","")&amp;IF(AND(R289="Ja",S289=""),"Befristung ohne Enddatum; ","")&amp;IF(AND(ISNUMBER(O289),ISNUMBER(N289),O289&lt;N289),"Austritt vor Eintritt; ","")&amp;IF(AND(ISNUMBER(AU289),ISNUMBER(AV289),AU289&lt;AV289),"Urlaub unter gesetzl. Minimum; ","")&amp;IF(AND(ISNUMBER(AC289),ISNUMBER(AF289),ABS(N(AC289)-N(AF289))&gt;0.01),"Wochenstd. weichen vom Modell ab; ","")&amp;IF(AND(AI289="Ja",OR(AJ289="",AK289="")),"Kontogrenzen fehlen; ","")&amp;IF(AND(AL289="Mit Gehalt abgegolten (Pauschale)",AM289=""),"Überstunden-Pauschale fehlt; ","")))</f>
        <v/>
      </c>
      <c r="BH289" s="38"/>
    </row>
    <row r="290" customFormat="false" ht="15" hidden="false" customHeight="false" outlineLevel="0" collapsed="false">
      <c r="A290" s="37"/>
      <c r="B290" s="38"/>
      <c r="C290" s="38"/>
      <c r="D290" s="38"/>
      <c r="E290" s="38"/>
      <c r="F290" s="39"/>
      <c r="G290" s="38"/>
      <c r="H290" s="38"/>
      <c r="I290" s="37"/>
      <c r="J290" s="38"/>
      <c r="K290" s="38"/>
      <c r="L290" s="38"/>
      <c r="M290" s="38"/>
      <c r="N290" s="39"/>
      <c r="O290" s="39"/>
      <c r="P290" s="38"/>
      <c r="Q290" s="38"/>
      <c r="R290" s="38"/>
      <c r="S290" s="39"/>
      <c r="T290" s="39"/>
      <c r="U290" s="38"/>
      <c r="V290" s="38"/>
      <c r="W290" s="37"/>
      <c r="X290" s="38"/>
      <c r="Y290" s="38"/>
      <c r="Z290" s="37"/>
      <c r="AA290" s="38"/>
      <c r="AB290" s="38"/>
      <c r="AC290" s="40"/>
      <c r="AD290" s="41"/>
      <c r="AE290" s="42" t="str">
        <f aca="false">IF(OR(A290="",NOT(ISNUMBER(AC290)),NOT(ISNUMBER(AD290))),"",IF(AD290&gt;0,AC290/AD290,""))</f>
        <v/>
      </c>
      <c r="AF290" s="42" t="str">
        <f aca="false">IF(OR(A290="",AB290=""),"",IFERROR(INDEX(Arbeitszeitmodelle!$C$5:$C$34,MATCH(AB290,Arbeitszeitmodelle!$A$5:$A$34,0)),""))</f>
        <v/>
      </c>
      <c r="AG290" s="38"/>
      <c r="AH290" s="38"/>
      <c r="AI290" s="38"/>
      <c r="AJ290" s="41"/>
      <c r="AK290" s="41"/>
      <c r="AL290" s="38"/>
      <c r="AM290" s="41"/>
      <c r="AN290" s="38"/>
      <c r="AO290" s="38"/>
      <c r="AP290" s="38"/>
      <c r="AQ290" s="38"/>
      <c r="AR290" s="41"/>
      <c r="AS290" s="40"/>
      <c r="AT290" s="39"/>
      <c r="AU290" s="41"/>
      <c r="AV290" s="43" t="str">
        <f aca="false">IF(OR(A290="",NOT(ISNUMBER(AD290))),"",P_MinUrlaubWerktage/6*AD290)</f>
        <v/>
      </c>
      <c r="AW290" s="43" t="str">
        <f aca="false">IF(A290="","",IF(M290="Ja",P_ZusatzSB*IF(ISNUMBER(AD290),AD290,5)/5,0))</f>
        <v/>
      </c>
      <c r="AX290" s="41"/>
      <c r="AY290" s="39"/>
      <c r="AZ290" s="43" t="str">
        <f aca="false">IF(OR(A290="",NOT(ISNUMBER(AU290))),"",SUM(AU290,AW290,AX290))</f>
        <v/>
      </c>
      <c r="BA290" s="38"/>
      <c r="BB290" s="44"/>
      <c r="BC290" s="44"/>
      <c r="BD290" s="45" t="str">
        <f aca="false">IF(A290="","",IF(BA290="Stundenlohn",IF(ISNUMBER(BC290),BC290,""),IF(AND(ISNUMBER(BB290),ISNUMBER(AC290)),IF(AC290&gt;0,BB290*12/(AC290*52),""),"")))</f>
        <v/>
      </c>
      <c r="BE290" s="46" t="str">
        <f aca="false">IF(OR(A290="",NOT(ISNUMBER(F290))),"",IFERROR(DATEDIF(F290,P_Stichtag,"Y"),""))</f>
        <v/>
      </c>
      <c r="BF290" s="47" t="str">
        <f aca="false">IF(OR(A290="",NOT(ISNUMBER(BE290))),"",IF(BE290&lt;18,"Ja","Nein"))</f>
        <v/>
      </c>
      <c r="BG290" s="48" t="str">
        <f aca="false">IF(A290="","",IF((IF(OR(B290="",C290="",F290="",N290="",Q290="",AB290="",AC290="",AD290="",AU290=""),"Pflichtfelder fehlen; ","")&amp;IF(AND(ISNUMBER(AC290),AC290&gt;P_MaxWoche),"Wochenstunden &gt; Prüfgrenze; ","")&amp;IF(AND(BF290="Ja",ISNUMBER(AC290),AC290&gt;P_MaxWocheJugend),"Jugendlicher &gt; 40 h/Woche; ","")&amp;IF(AND(ISNUMBER(BD290),BD290&lt;P_Mindestlohn,Q290&lt;&gt;"Auszubildende/r",Q290&lt;&gt;"Praktikant/in"),"Mindestlohn unterschritten?; ","")&amp;IF(AND(Q290="Minijob (geringfügig)",ISNUMBER(BB290),BB290&gt;P_Minijob),"Minijob-Grenze überschritten; ","")&amp;IF(AND(R290="Ja",S290=""),"Befristung ohne Enddatum; ","")&amp;IF(AND(ISNUMBER(O290),ISNUMBER(N290),O290&lt;N290),"Austritt vor Eintritt; ","")&amp;IF(AND(ISNUMBER(AU290),ISNUMBER(AV290),AU290&lt;AV290),"Urlaub unter gesetzl. Minimum; ","")&amp;IF(AND(ISNUMBER(AC290),ISNUMBER(AF290),ABS(N(AC290)-N(AF290))&gt;0.01),"Wochenstd. weichen vom Modell ab; ","")&amp;IF(AND(AI290="Ja",OR(AJ290="",AK290="")),"Kontogrenzen fehlen; ","")&amp;IF(AND(AL290="Mit Gehalt abgegolten (Pauschale)",AM290=""),"Überstunden-Pauschale fehlt; ",""))="","OK",IF(OR(B290="",C290="",F290="",N290="",Q290="",AB290="",AC290="",AD290="",AU290=""),"Pflichtfelder fehlen; ","")&amp;IF(AND(ISNUMBER(AC290),AC290&gt;P_MaxWoche),"Wochenstunden &gt; Prüfgrenze; ","")&amp;IF(AND(BF290="Ja",ISNUMBER(AC290),AC290&gt;P_MaxWocheJugend),"Jugendlicher &gt; 40 h/Woche; ","")&amp;IF(AND(ISNUMBER(BD290),BD290&lt;P_Mindestlohn,Q290&lt;&gt;"Auszubildende/r",Q290&lt;&gt;"Praktikant/in"),"Mindestlohn unterschritten?; ","")&amp;IF(AND(Q290="Minijob (geringfügig)",ISNUMBER(BB290),BB290&gt;P_Minijob),"Minijob-Grenze überschritten; ","")&amp;IF(AND(R290="Ja",S290=""),"Befristung ohne Enddatum; ","")&amp;IF(AND(ISNUMBER(O290),ISNUMBER(N290),O290&lt;N290),"Austritt vor Eintritt; ","")&amp;IF(AND(ISNUMBER(AU290),ISNUMBER(AV290),AU290&lt;AV290),"Urlaub unter gesetzl. Minimum; ","")&amp;IF(AND(ISNUMBER(AC290),ISNUMBER(AF290),ABS(N(AC290)-N(AF290))&gt;0.01),"Wochenstd. weichen vom Modell ab; ","")&amp;IF(AND(AI290="Ja",OR(AJ290="",AK290="")),"Kontogrenzen fehlen; ","")&amp;IF(AND(AL290="Mit Gehalt abgegolten (Pauschale)",AM290=""),"Überstunden-Pauschale fehlt; ","")))</f>
        <v/>
      </c>
      <c r="BH290" s="38"/>
    </row>
    <row r="291" customFormat="false" ht="15" hidden="false" customHeight="false" outlineLevel="0" collapsed="false">
      <c r="A291" s="37"/>
      <c r="B291" s="38"/>
      <c r="C291" s="38"/>
      <c r="D291" s="38"/>
      <c r="E291" s="38"/>
      <c r="F291" s="39"/>
      <c r="G291" s="38"/>
      <c r="H291" s="38"/>
      <c r="I291" s="37"/>
      <c r="J291" s="38"/>
      <c r="K291" s="38"/>
      <c r="L291" s="38"/>
      <c r="M291" s="38"/>
      <c r="N291" s="39"/>
      <c r="O291" s="39"/>
      <c r="P291" s="38"/>
      <c r="Q291" s="38"/>
      <c r="R291" s="38"/>
      <c r="S291" s="39"/>
      <c r="T291" s="39"/>
      <c r="U291" s="38"/>
      <c r="V291" s="38"/>
      <c r="W291" s="37"/>
      <c r="X291" s="38"/>
      <c r="Y291" s="38"/>
      <c r="Z291" s="37"/>
      <c r="AA291" s="38"/>
      <c r="AB291" s="38"/>
      <c r="AC291" s="40"/>
      <c r="AD291" s="41"/>
      <c r="AE291" s="42" t="str">
        <f aca="false">IF(OR(A291="",NOT(ISNUMBER(AC291)),NOT(ISNUMBER(AD291))),"",IF(AD291&gt;0,AC291/AD291,""))</f>
        <v/>
      </c>
      <c r="AF291" s="42" t="str">
        <f aca="false">IF(OR(A291="",AB291=""),"",IFERROR(INDEX(Arbeitszeitmodelle!$C$5:$C$34,MATCH(AB291,Arbeitszeitmodelle!$A$5:$A$34,0)),""))</f>
        <v/>
      </c>
      <c r="AG291" s="38"/>
      <c r="AH291" s="38"/>
      <c r="AI291" s="38"/>
      <c r="AJ291" s="41"/>
      <c r="AK291" s="41"/>
      <c r="AL291" s="38"/>
      <c r="AM291" s="41"/>
      <c r="AN291" s="38"/>
      <c r="AO291" s="38"/>
      <c r="AP291" s="38"/>
      <c r="AQ291" s="38"/>
      <c r="AR291" s="41"/>
      <c r="AS291" s="40"/>
      <c r="AT291" s="39"/>
      <c r="AU291" s="41"/>
      <c r="AV291" s="43" t="str">
        <f aca="false">IF(OR(A291="",NOT(ISNUMBER(AD291))),"",P_MinUrlaubWerktage/6*AD291)</f>
        <v/>
      </c>
      <c r="AW291" s="43" t="str">
        <f aca="false">IF(A291="","",IF(M291="Ja",P_ZusatzSB*IF(ISNUMBER(AD291),AD291,5)/5,0))</f>
        <v/>
      </c>
      <c r="AX291" s="41"/>
      <c r="AY291" s="39"/>
      <c r="AZ291" s="43" t="str">
        <f aca="false">IF(OR(A291="",NOT(ISNUMBER(AU291))),"",SUM(AU291,AW291,AX291))</f>
        <v/>
      </c>
      <c r="BA291" s="38"/>
      <c r="BB291" s="44"/>
      <c r="BC291" s="44"/>
      <c r="BD291" s="45" t="str">
        <f aca="false">IF(A291="","",IF(BA291="Stundenlohn",IF(ISNUMBER(BC291),BC291,""),IF(AND(ISNUMBER(BB291),ISNUMBER(AC291)),IF(AC291&gt;0,BB291*12/(AC291*52),""),"")))</f>
        <v/>
      </c>
      <c r="BE291" s="46" t="str">
        <f aca="false">IF(OR(A291="",NOT(ISNUMBER(F291))),"",IFERROR(DATEDIF(F291,P_Stichtag,"Y"),""))</f>
        <v/>
      </c>
      <c r="BF291" s="47" t="str">
        <f aca="false">IF(OR(A291="",NOT(ISNUMBER(BE291))),"",IF(BE291&lt;18,"Ja","Nein"))</f>
        <v/>
      </c>
      <c r="BG291" s="48" t="str">
        <f aca="false">IF(A291="","",IF((IF(OR(B291="",C291="",F291="",N291="",Q291="",AB291="",AC291="",AD291="",AU291=""),"Pflichtfelder fehlen; ","")&amp;IF(AND(ISNUMBER(AC291),AC291&gt;P_MaxWoche),"Wochenstunden &gt; Prüfgrenze; ","")&amp;IF(AND(BF291="Ja",ISNUMBER(AC291),AC291&gt;P_MaxWocheJugend),"Jugendlicher &gt; 40 h/Woche; ","")&amp;IF(AND(ISNUMBER(BD291),BD291&lt;P_Mindestlohn,Q291&lt;&gt;"Auszubildende/r",Q291&lt;&gt;"Praktikant/in"),"Mindestlohn unterschritten?; ","")&amp;IF(AND(Q291="Minijob (geringfügig)",ISNUMBER(BB291),BB291&gt;P_Minijob),"Minijob-Grenze überschritten; ","")&amp;IF(AND(R291="Ja",S291=""),"Befristung ohne Enddatum; ","")&amp;IF(AND(ISNUMBER(O291),ISNUMBER(N291),O291&lt;N291),"Austritt vor Eintritt; ","")&amp;IF(AND(ISNUMBER(AU291),ISNUMBER(AV291),AU291&lt;AV291),"Urlaub unter gesetzl. Minimum; ","")&amp;IF(AND(ISNUMBER(AC291),ISNUMBER(AF291),ABS(N(AC291)-N(AF291))&gt;0.01),"Wochenstd. weichen vom Modell ab; ","")&amp;IF(AND(AI291="Ja",OR(AJ291="",AK291="")),"Kontogrenzen fehlen; ","")&amp;IF(AND(AL291="Mit Gehalt abgegolten (Pauschale)",AM291=""),"Überstunden-Pauschale fehlt; ",""))="","OK",IF(OR(B291="",C291="",F291="",N291="",Q291="",AB291="",AC291="",AD291="",AU291=""),"Pflichtfelder fehlen; ","")&amp;IF(AND(ISNUMBER(AC291),AC291&gt;P_MaxWoche),"Wochenstunden &gt; Prüfgrenze; ","")&amp;IF(AND(BF291="Ja",ISNUMBER(AC291),AC291&gt;P_MaxWocheJugend),"Jugendlicher &gt; 40 h/Woche; ","")&amp;IF(AND(ISNUMBER(BD291),BD291&lt;P_Mindestlohn,Q291&lt;&gt;"Auszubildende/r",Q291&lt;&gt;"Praktikant/in"),"Mindestlohn unterschritten?; ","")&amp;IF(AND(Q291="Minijob (geringfügig)",ISNUMBER(BB291),BB291&gt;P_Minijob),"Minijob-Grenze überschritten; ","")&amp;IF(AND(R291="Ja",S291=""),"Befristung ohne Enddatum; ","")&amp;IF(AND(ISNUMBER(O291),ISNUMBER(N291),O291&lt;N291),"Austritt vor Eintritt; ","")&amp;IF(AND(ISNUMBER(AU291),ISNUMBER(AV291),AU291&lt;AV291),"Urlaub unter gesetzl. Minimum; ","")&amp;IF(AND(ISNUMBER(AC291),ISNUMBER(AF291),ABS(N(AC291)-N(AF291))&gt;0.01),"Wochenstd. weichen vom Modell ab; ","")&amp;IF(AND(AI291="Ja",OR(AJ291="",AK291="")),"Kontogrenzen fehlen; ","")&amp;IF(AND(AL291="Mit Gehalt abgegolten (Pauschale)",AM291=""),"Überstunden-Pauschale fehlt; ","")))</f>
        <v/>
      </c>
      <c r="BH291" s="38"/>
    </row>
    <row r="292" customFormat="false" ht="15" hidden="false" customHeight="false" outlineLevel="0" collapsed="false">
      <c r="A292" s="37"/>
      <c r="B292" s="38"/>
      <c r="C292" s="38"/>
      <c r="D292" s="38"/>
      <c r="E292" s="38"/>
      <c r="F292" s="39"/>
      <c r="G292" s="38"/>
      <c r="H292" s="38"/>
      <c r="I292" s="37"/>
      <c r="J292" s="38"/>
      <c r="K292" s="38"/>
      <c r="L292" s="38"/>
      <c r="M292" s="38"/>
      <c r="N292" s="39"/>
      <c r="O292" s="39"/>
      <c r="P292" s="38"/>
      <c r="Q292" s="38"/>
      <c r="R292" s="38"/>
      <c r="S292" s="39"/>
      <c r="T292" s="39"/>
      <c r="U292" s="38"/>
      <c r="V292" s="38"/>
      <c r="W292" s="37"/>
      <c r="X292" s="38"/>
      <c r="Y292" s="38"/>
      <c r="Z292" s="37"/>
      <c r="AA292" s="38"/>
      <c r="AB292" s="38"/>
      <c r="AC292" s="40"/>
      <c r="AD292" s="41"/>
      <c r="AE292" s="42" t="str">
        <f aca="false">IF(OR(A292="",NOT(ISNUMBER(AC292)),NOT(ISNUMBER(AD292))),"",IF(AD292&gt;0,AC292/AD292,""))</f>
        <v/>
      </c>
      <c r="AF292" s="42" t="str">
        <f aca="false">IF(OR(A292="",AB292=""),"",IFERROR(INDEX(Arbeitszeitmodelle!$C$5:$C$34,MATCH(AB292,Arbeitszeitmodelle!$A$5:$A$34,0)),""))</f>
        <v/>
      </c>
      <c r="AG292" s="38"/>
      <c r="AH292" s="38"/>
      <c r="AI292" s="38"/>
      <c r="AJ292" s="41"/>
      <c r="AK292" s="41"/>
      <c r="AL292" s="38"/>
      <c r="AM292" s="41"/>
      <c r="AN292" s="38"/>
      <c r="AO292" s="38"/>
      <c r="AP292" s="38"/>
      <c r="AQ292" s="38"/>
      <c r="AR292" s="41"/>
      <c r="AS292" s="40"/>
      <c r="AT292" s="39"/>
      <c r="AU292" s="41"/>
      <c r="AV292" s="43" t="str">
        <f aca="false">IF(OR(A292="",NOT(ISNUMBER(AD292))),"",P_MinUrlaubWerktage/6*AD292)</f>
        <v/>
      </c>
      <c r="AW292" s="43" t="str">
        <f aca="false">IF(A292="","",IF(M292="Ja",P_ZusatzSB*IF(ISNUMBER(AD292),AD292,5)/5,0))</f>
        <v/>
      </c>
      <c r="AX292" s="41"/>
      <c r="AY292" s="39"/>
      <c r="AZ292" s="43" t="str">
        <f aca="false">IF(OR(A292="",NOT(ISNUMBER(AU292))),"",SUM(AU292,AW292,AX292))</f>
        <v/>
      </c>
      <c r="BA292" s="38"/>
      <c r="BB292" s="44"/>
      <c r="BC292" s="44"/>
      <c r="BD292" s="45" t="str">
        <f aca="false">IF(A292="","",IF(BA292="Stundenlohn",IF(ISNUMBER(BC292),BC292,""),IF(AND(ISNUMBER(BB292),ISNUMBER(AC292)),IF(AC292&gt;0,BB292*12/(AC292*52),""),"")))</f>
        <v/>
      </c>
      <c r="BE292" s="46" t="str">
        <f aca="false">IF(OR(A292="",NOT(ISNUMBER(F292))),"",IFERROR(DATEDIF(F292,P_Stichtag,"Y"),""))</f>
        <v/>
      </c>
      <c r="BF292" s="47" t="str">
        <f aca="false">IF(OR(A292="",NOT(ISNUMBER(BE292))),"",IF(BE292&lt;18,"Ja","Nein"))</f>
        <v/>
      </c>
      <c r="BG292" s="48" t="str">
        <f aca="false">IF(A292="","",IF((IF(OR(B292="",C292="",F292="",N292="",Q292="",AB292="",AC292="",AD292="",AU292=""),"Pflichtfelder fehlen; ","")&amp;IF(AND(ISNUMBER(AC292),AC292&gt;P_MaxWoche),"Wochenstunden &gt; Prüfgrenze; ","")&amp;IF(AND(BF292="Ja",ISNUMBER(AC292),AC292&gt;P_MaxWocheJugend),"Jugendlicher &gt; 40 h/Woche; ","")&amp;IF(AND(ISNUMBER(BD292),BD292&lt;P_Mindestlohn,Q292&lt;&gt;"Auszubildende/r",Q292&lt;&gt;"Praktikant/in"),"Mindestlohn unterschritten?; ","")&amp;IF(AND(Q292="Minijob (geringfügig)",ISNUMBER(BB292),BB292&gt;P_Minijob),"Minijob-Grenze überschritten; ","")&amp;IF(AND(R292="Ja",S292=""),"Befristung ohne Enddatum; ","")&amp;IF(AND(ISNUMBER(O292),ISNUMBER(N292),O292&lt;N292),"Austritt vor Eintritt; ","")&amp;IF(AND(ISNUMBER(AU292),ISNUMBER(AV292),AU292&lt;AV292),"Urlaub unter gesetzl. Minimum; ","")&amp;IF(AND(ISNUMBER(AC292),ISNUMBER(AF292),ABS(N(AC292)-N(AF292))&gt;0.01),"Wochenstd. weichen vom Modell ab; ","")&amp;IF(AND(AI292="Ja",OR(AJ292="",AK292="")),"Kontogrenzen fehlen; ","")&amp;IF(AND(AL292="Mit Gehalt abgegolten (Pauschale)",AM292=""),"Überstunden-Pauschale fehlt; ",""))="","OK",IF(OR(B292="",C292="",F292="",N292="",Q292="",AB292="",AC292="",AD292="",AU292=""),"Pflichtfelder fehlen; ","")&amp;IF(AND(ISNUMBER(AC292),AC292&gt;P_MaxWoche),"Wochenstunden &gt; Prüfgrenze; ","")&amp;IF(AND(BF292="Ja",ISNUMBER(AC292),AC292&gt;P_MaxWocheJugend),"Jugendlicher &gt; 40 h/Woche; ","")&amp;IF(AND(ISNUMBER(BD292),BD292&lt;P_Mindestlohn,Q292&lt;&gt;"Auszubildende/r",Q292&lt;&gt;"Praktikant/in"),"Mindestlohn unterschritten?; ","")&amp;IF(AND(Q292="Minijob (geringfügig)",ISNUMBER(BB292),BB292&gt;P_Minijob),"Minijob-Grenze überschritten; ","")&amp;IF(AND(R292="Ja",S292=""),"Befristung ohne Enddatum; ","")&amp;IF(AND(ISNUMBER(O292),ISNUMBER(N292),O292&lt;N292),"Austritt vor Eintritt; ","")&amp;IF(AND(ISNUMBER(AU292),ISNUMBER(AV292),AU292&lt;AV292),"Urlaub unter gesetzl. Minimum; ","")&amp;IF(AND(ISNUMBER(AC292),ISNUMBER(AF292),ABS(N(AC292)-N(AF292))&gt;0.01),"Wochenstd. weichen vom Modell ab; ","")&amp;IF(AND(AI292="Ja",OR(AJ292="",AK292="")),"Kontogrenzen fehlen; ","")&amp;IF(AND(AL292="Mit Gehalt abgegolten (Pauschale)",AM292=""),"Überstunden-Pauschale fehlt; ","")))</f>
        <v/>
      </c>
      <c r="BH292" s="38"/>
    </row>
    <row r="293" customFormat="false" ht="15" hidden="false" customHeight="false" outlineLevel="0" collapsed="false">
      <c r="A293" s="37"/>
      <c r="B293" s="38"/>
      <c r="C293" s="38"/>
      <c r="D293" s="38"/>
      <c r="E293" s="38"/>
      <c r="F293" s="39"/>
      <c r="G293" s="38"/>
      <c r="H293" s="38"/>
      <c r="I293" s="37"/>
      <c r="J293" s="38"/>
      <c r="K293" s="38"/>
      <c r="L293" s="38"/>
      <c r="M293" s="38"/>
      <c r="N293" s="39"/>
      <c r="O293" s="39"/>
      <c r="P293" s="38"/>
      <c r="Q293" s="38"/>
      <c r="R293" s="38"/>
      <c r="S293" s="39"/>
      <c r="T293" s="39"/>
      <c r="U293" s="38"/>
      <c r="V293" s="38"/>
      <c r="W293" s="37"/>
      <c r="X293" s="38"/>
      <c r="Y293" s="38"/>
      <c r="Z293" s="37"/>
      <c r="AA293" s="38"/>
      <c r="AB293" s="38"/>
      <c r="AC293" s="40"/>
      <c r="AD293" s="41"/>
      <c r="AE293" s="42" t="str">
        <f aca="false">IF(OR(A293="",NOT(ISNUMBER(AC293)),NOT(ISNUMBER(AD293))),"",IF(AD293&gt;0,AC293/AD293,""))</f>
        <v/>
      </c>
      <c r="AF293" s="42" t="str">
        <f aca="false">IF(OR(A293="",AB293=""),"",IFERROR(INDEX(Arbeitszeitmodelle!$C$5:$C$34,MATCH(AB293,Arbeitszeitmodelle!$A$5:$A$34,0)),""))</f>
        <v/>
      </c>
      <c r="AG293" s="38"/>
      <c r="AH293" s="38"/>
      <c r="AI293" s="38"/>
      <c r="AJ293" s="41"/>
      <c r="AK293" s="41"/>
      <c r="AL293" s="38"/>
      <c r="AM293" s="41"/>
      <c r="AN293" s="38"/>
      <c r="AO293" s="38"/>
      <c r="AP293" s="38"/>
      <c r="AQ293" s="38"/>
      <c r="AR293" s="41"/>
      <c r="AS293" s="40"/>
      <c r="AT293" s="39"/>
      <c r="AU293" s="41"/>
      <c r="AV293" s="43" t="str">
        <f aca="false">IF(OR(A293="",NOT(ISNUMBER(AD293))),"",P_MinUrlaubWerktage/6*AD293)</f>
        <v/>
      </c>
      <c r="AW293" s="43" t="str">
        <f aca="false">IF(A293="","",IF(M293="Ja",P_ZusatzSB*IF(ISNUMBER(AD293),AD293,5)/5,0))</f>
        <v/>
      </c>
      <c r="AX293" s="41"/>
      <c r="AY293" s="39"/>
      <c r="AZ293" s="43" t="str">
        <f aca="false">IF(OR(A293="",NOT(ISNUMBER(AU293))),"",SUM(AU293,AW293,AX293))</f>
        <v/>
      </c>
      <c r="BA293" s="38"/>
      <c r="BB293" s="44"/>
      <c r="BC293" s="44"/>
      <c r="BD293" s="45" t="str">
        <f aca="false">IF(A293="","",IF(BA293="Stundenlohn",IF(ISNUMBER(BC293),BC293,""),IF(AND(ISNUMBER(BB293),ISNUMBER(AC293)),IF(AC293&gt;0,BB293*12/(AC293*52),""),"")))</f>
        <v/>
      </c>
      <c r="BE293" s="46" t="str">
        <f aca="false">IF(OR(A293="",NOT(ISNUMBER(F293))),"",IFERROR(DATEDIF(F293,P_Stichtag,"Y"),""))</f>
        <v/>
      </c>
      <c r="BF293" s="47" t="str">
        <f aca="false">IF(OR(A293="",NOT(ISNUMBER(BE293))),"",IF(BE293&lt;18,"Ja","Nein"))</f>
        <v/>
      </c>
      <c r="BG293" s="48" t="str">
        <f aca="false">IF(A293="","",IF((IF(OR(B293="",C293="",F293="",N293="",Q293="",AB293="",AC293="",AD293="",AU293=""),"Pflichtfelder fehlen; ","")&amp;IF(AND(ISNUMBER(AC293),AC293&gt;P_MaxWoche),"Wochenstunden &gt; Prüfgrenze; ","")&amp;IF(AND(BF293="Ja",ISNUMBER(AC293),AC293&gt;P_MaxWocheJugend),"Jugendlicher &gt; 40 h/Woche; ","")&amp;IF(AND(ISNUMBER(BD293),BD293&lt;P_Mindestlohn,Q293&lt;&gt;"Auszubildende/r",Q293&lt;&gt;"Praktikant/in"),"Mindestlohn unterschritten?; ","")&amp;IF(AND(Q293="Minijob (geringfügig)",ISNUMBER(BB293),BB293&gt;P_Minijob),"Minijob-Grenze überschritten; ","")&amp;IF(AND(R293="Ja",S293=""),"Befristung ohne Enddatum; ","")&amp;IF(AND(ISNUMBER(O293),ISNUMBER(N293),O293&lt;N293),"Austritt vor Eintritt; ","")&amp;IF(AND(ISNUMBER(AU293),ISNUMBER(AV293),AU293&lt;AV293),"Urlaub unter gesetzl. Minimum; ","")&amp;IF(AND(ISNUMBER(AC293),ISNUMBER(AF293),ABS(N(AC293)-N(AF293))&gt;0.01),"Wochenstd. weichen vom Modell ab; ","")&amp;IF(AND(AI293="Ja",OR(AJ293="",AK293="")),"Kontogrenzen fehlen; ","")&amp;IF(AND(AL293="Mit Gehalt abgegolten (Pauschale)",AM293=""),"Überstunden-Pauschale fehlt; ",""))="","OK",IF(OR(B293="",C293="",F293="",N293="",Q293="",AB293="",AC293="",AD293="",AU293=""),"Pflichtfelder fehlen; ","")&amp;IF(AND(ISNUMBER(AC293),AC293&gt;P_MaxWoche),"Wochenstunden &gt; Prüfgrenze; ","")&amp;IF(AND(BF293="Ja",ISNUMBER(AC293),AC293&gt;P_MaxWocheJugend),"Jugendlicher &gt; 40 h/Woche; ","")&amp;IF(AND(ISNUMBER(BD293),BD293&lt;P_Mindestlohn,Q293&lt;&gt;"Auszubildende/r",Q293&lt;&gt;"Praktikant/in"),"Mindestlohn unterschritten?; ","")&amp;IF(AND(Q293="Minijob (geringfügig)",ISNUMBER(BB293),BB293&gt;P_Minijob),"Minijob-Grenze überschritten; ","")&amp;IF(AND(R293="Ja",S293=""),"Befristung ohne Enddatum; ","")&amp;IF(AND(ISNUMBER(O293),ISNUMBER(N293),O293&lt;N293),"Austritt vor Eintritt; ","")&amp;IF(AND(ISNUMBER(AU293),ISNUMBER(AV293),AU293&lt;AV293),"Urlaub unter gesetzl. Minimum; ","")&amp;IF(AND(ISNUMBER(AC293),ISNUMBER(AF293),ABS(N(AC293)-N(AF293))&gt;0.01),"Wochenstd. weichen vom Modell ab; ","")&amp;IF(AND(AI293="Ja",OR(AJ293="",AK293="")),"Kontogrenzen fehlen; ","")&amp;IF(AND(AL293="Mit Gehalt abgegolten (Pauschale)",AM293=""),"Überstunden-Pauschale fehlt; ","")))</f>
        <v/>
      </c>
      <c r="BH293" s="38"/>
    </row>
    <row r="294" customFormat="false" ht="15" hidden="false" customHeight="false" outlineLevel="0" collapsed="false">
      <c r="A294" s="37"/>
      <c r="B294" s="38"/>
      <c r="C294" s="38"/>
      <c r="D294" s="38"/>
      <c r="E294" s="38"/>
      <c r="F294" s="39"/>
      <c r="G294" s="38"/>
      <c r="H294" s="38"/>
      <c r="I294" s="37"/>
      <c r="J294" s="38"/>
      <c r="K294" s="38"/>
      <c r="L294" s="38"/>
      <c r="M294" s="38"/>
      <c r="N294" s="39"/>
      <c r="O294" s="39"/>
      <c r="P294" s="38"/>
      <c r="Q294" s="38"/>
      <c r="R294" s="38"/>
      <c r="S294" s="39"/>
      <c r="T294" s="39"/>
      <c r="U294" s="38"/>
      <c r="V294" s="38"/>
      <c r="W294" s="37"/>
      <c r="X294" s="38"/>
      <c r="Y294" s="38"/>
      <c r="Z294" s="37"/>
      <c r="AA294" s="38"/>
      <c r="AB294" s="38"/>
      <c r="AC294" s="40"/>
      <c r="AD294" s="41"/>
      <c r="AE294" s="42" t="str">
        <f aca="false">IF(OR(A294="",NOT(ISNUMBER(AC294)),NOT(ISNUMBER(AD294))),"",IF(AD294&gt;0,AC294/AD294,""))</f>
        <v/>
      </c>
      <c r="AF294" s="42" t="str">
        <f aca="false">IF(OR(A294="",AB294=""),"",IFERROR(INDEX(Arbeitszeitmodelle!$C$5:$C$34,MATCH(AB294,Arbeitszeitmodelle!$A$5:$A$34,0)),""))</f>
        <v/>
      </c>
      <c r="AG294" s="38"/>
      <c r="AH294" s="38"/>
      <c r="AI294" s="38"/>
      <c r="AJ294" s="41"/>
      <c r="AK294" s="41"/>
      <c r="AL294" s="38"/>
      <c r="AM294" s="41"/>
      <c r="AN294" s="38"/>
      <c r="AO294" s="38"/>
      <c r="AP294" s="38"/>
      <c r="AQ294" s="38"/>
      <c r="AR294" s="41"/>
      <c r="AS294" s="40"/>
      <c r="AT294" s="39"/>
      <c r="AU294" s="41"/>
      <c r="AV294" s="43" t="str">
        <f aca="false">IF(OR(A294="",NOT(ISNUMBER(AD294))),"",P_MinUrlaubWerktage/6*AD294)</f>
        <v/>
      </c>
      <c r="AW294" s="43" t="str">
        <f aca="false">IF(A294="","",IF(M294="Ja",P_ZusatzSB*IF(ISNUMBER(AD294),AD294,5)/5,0))</f>
        <v/>
      </c>
      <c r="AX294" s="41"/>
      <c r="AY294" s="39"/>
      <c r="AZ294" s="43" t="str">
        <f aca="false">IF(OR(A294="",NOT(ISNUMBER(AU294))),"",SUM(AU294,AW294,AX294))</f>
        <v/>
      </c>
      <c r="BA294" s="38"/>
      <c r="BB294" s="44"/>
      <c r="BC294" s="44"/>
      <c r="BD294" s="45" t="str">
        <f aca="false">IF(A294="","",IF(BA294="Stundenlohn",IF(ISNUMBER(BC294),BC294,""),IF(AND(ISNUMBER(BB294),ISNUMBER(AC294)),IF(AC294&gt;0,BB294*12/(AC294*52),""),"")))</f>
        <v/>
      </c>
      <c r="BE294" s="46" t="str">
        <f aca="false">IF(OR(A294="",NOT(ISNUMBER(F294))),"",IFERROR(DATEDIF(F294,P_Stichtag,"Y"),""))</f>
        <v/>
      </c>
      <c r="BF294" s="47" t="str">
        <f aca="false">IF(OR(A294="",NOT(ISNUMBER(BE294))),"",IF(BE294&lt;18,"Ja","Nein"))</f>
        <v/>
      </c>
      <c r="BG294" s="48" t="str">
        <f aca="false">IF(A294="","",IF((IF(OR(B294="",C294="",F294="",N294="",Q294="",AB294="",AC294="",AD294="",AU294=""),"Pflichtfelder fehlen; ","")&amp;IF(AND(ISNUMBER(AC294),AC294&gt;P_MaxWoche),"Wochenstunden &gt; Prüfgrenze; ","")&amp;IF(AND(BF294="Ja",ISNUMBER(AC294),AC294&gt;P_MaxWocheJugend),"Jugendlicher &gt; 40 h/Woche; ","")&amp;IF(AND(ISNUMBER(BD294),BD294&lt;P_Mindestlohn,Q294&lt;&gt;"Auszubildende/r",Q294&lt;&gt;"Praktikant/in"),"Mindestlohn unterschritten?; ","")&amp;IF(AND(Q294="Minijob (geringfügig)",ISNUMBER(BB294),BB294&gt;P_Minijob),"Minijob-Grenze überschritten; ","")&amp;IF(AND(R294="Ja",S294=""),"Befristung ohne Enddatum; ","")&amp;IF(AND(ISNUMBER(O294),ISNUMBER(N294),O294&lt;N294),"Austritt vor Eintritt; ","")&amp;IF(AND(ISNUMBER(AU294),ISNUMBER(AV294),AU294&lt;AV294),"Urlaub unter gesetzl. Minimum; ","")&amp;IF(AND(ISNUMBER(AC294),ISNUMBER(AF294),ABS(N(AC294)-N(AF294))&gt;0.01),"Wochenstd. weichen vom Modell ab; ","")&amp;IF(AND(AI294="Ja",OR(AJ294="",AK294="")),"Kontogrenzen fehlen; ","")&amp;IF(AND(AL294="Mit Gehalt abgegolten (Pauschale)",AM294=""),"Überstunden-Pauschale fehlt; ",""))="","OK",IF(OR(B294="",C294="",F294="",N294="",Q294="",AB294="",AC294="",AD294="",AU294=""),"Pflichtfelder fehlen; ","")&amp;IF(AND(ISNUMBER(AC294),AC294&gt;P_MaxWoche),"Wochenstunden &gt; Prüfgrenze; ","")&amp;IF(AND(BF294="Ja",ISNUMBER(AC294),AC294&gt;P_MaxWocheJugend),"Jugendlicher &gt; 40 h/Woche; ","")&amp;IF(AND(ISNUMBER(BD294),BD294&lt;P_Mindestlohn,Q294&lt;&gt;"Auszubildende/r",Q294&lt;&gt;"Praktikant/in"),"Mindestlohn unterschritten?; ","")&amp;IF(AND(Q294="Minijob (geringfügig)",ISNUMBER(BB294),BB294&gt;P_Minijob),"Minijob-Grenze überschritten; ","")&amp;IF(AND(R294="Ja",S294=""),"Befristung ohne Enddatum; ","")&amp;IF(AND(ISNUMBER(O294),ISNUMBER(N294),O294&lt;N294),"Austritt vor Eintritt; ","")&amp;IF(AND(ISNUMBER(AU294),ISNUMBER(AV294),AU294&lt;AV294),"Urlaub unter gesetzl. Minimum; ","")&amp;IF(AND(ISNUMBER(AC294),ISNUMBER(AF294),ABS(N(AC294)-N(AF294))&gt;0.01),"Wochenstd. weichen vom Modell ab; ","")&amp;IF(AND(AI294="Ja",OR(AJ294="",AK294="")),"Kontogrenzen fehlen; ","")&amp;IF(AND(AL294="Mit Gehalt abgegolten (Pauschale)",AM294=""),"Überstunden-Pauschale fehlt; ","")))</f>
        <v/>
      </c>
      <c r="BH294" s="38"/>
    </row>
    <row r="295" customFormat="false" ht="15" hidden="false" customHeight="false" outlineLevel="0" collapsed="false">
      <c r="A295" s="37"/>
      <c r="B295" s="38"/>
      <c r="C295" s="38"/>
      <c r="D295" s="38"/>
      <c r="E295" s="38"/>
      <c r="F295" s="39"/>
      <c r="G295" s="38"/>
      <c r="H295" s="38"/>
      <c r="I295" s="37"/>
      <c r="J295" s="38"/>
      <c r="K295" s="38"/>
      <c r="L295" s="38"/>
      <c r="M295" s="38"/>
      <c r="N295" s="39"/>
      <c r="O295" s="39"/>
      <c r="P295" s="38"/>
      <c r="Q295" s="38"/>
      <c r="R295" s="38"/>
      <c r="S295" s="39"/>
      <c r="T295" s="39"/>
      <c r="U295" s="38"/>
      <c r="V295" s="38"/>
      <c r="W295" s="37"/>
      <c r="X295" s="38"/>
      <c r="Y295" s="38"/>
      <c r="Z295" s="37"/>
      <c r="AA295" s="38"/>
      <c r="AB295" s="38"/>
      <c r="AC295" s="40"/>
      <c r="AD295" s="41"/>
      <c r="AE295" s="42" t="str">
        <f aca="false">IF(OR(A295="",NOT(ISNUMBER(AC295)),NOT(ISNUMBER(AD295))),"",IF(AD295&gt;0,AC295/AD295,""))</f>
        <v/>
      </c>
      <c r="AF295" s="42" t="str">
        <f aca="false">IF(OR(A295="",AB295=""),"",IFERROR(INDEX(Arbeitszeitmodelle!$C$5:$C$34,MATCH(AB295,Arbeitszeitmodelle!$A$5:$A$34,0)),""))</f>
        <v/>
      </c>
      <c r="AG295" s="38"/>
      <c r="AH295" s="38"/>
      <c r="AI295" s="38"/>
      <c r="AJ295" s="41"/>
      <c r="AK295" s="41"/>
      <c r="AL295" s="38"/>
      <c r="AM295" s="41"/>
      <c r="AN295" s="38"/>
      <c r="AO295" s="38"/>
      <c r="AP295" s="38"/>
      <c r="AQ295" s="38"/>
      <c r="AR295" s="41"/>
      <c r="AS295" s="40"/>
      <c r="AT295" s="39"/>
      <c r="AU295" s="41"/>
      <c r="AV295" s="43" t="str">
        <f aca="false">IF(OR(A295="",NOT(ISNUMBER(AD295))),"",P_MinUrlaubWerktage/6*AD295)</f>
        <v/>
      </c>
      <c r="AW295" s="43" t="str">
        <f aca="false">IF(A295="","",IF(M295="Ja",P_ZusatzSB*IF(ISNUMBER(AD295),AD295,5)/5,0))</f>
        <v/>
      </c>
      <c r="AX295" s="41"/>
      <c r="AY295" s="39"/>
      <c r="AZ295" s="43" t="str">
        <f aca="false">IF(OR(A295="",NOT(ISNUMBER(AU295))),"",SUM(AU295,AW295,AX295))</f>
        <v/>
      </c>
      <c r="BA295" s="38"/>
      <c r="BB295" s="44"/>
      <c r="BC295" s="44"/>
      <c r="BD295" s="45" t="str">
        <f aca="false">IF(A295="","",IF(BA295="Stundenlohn",IF(ISNUMBER(BC295),BC295,""),IF(AND(ISNUMBER(BB295),ISNUMBER(AC295)),IF(AC295&gt;0,BB295*12/(AC295*52),""),"")))</f>
        <v/>
      </c>
      <c r="BE295" s="46" t="str">
        <f aca="false">IF(OR(A295="",NOT(ISNUMBER(F295))),"",IFERROR(DATEDIF(F295,P_Stichtag,"Y"),""))</f>
        <v/>
      </c>
      <c r="BF295" s="47" t="str">
        <f aca="false">IF(OR(A295="",NOT(ISNUMBER(BE295))),"",IF(BE295&lt;18,"Ja","Nein"))</f>
        <v/>
      </c>
      <c r="BG295" s="48" t="str">
        <f aca="false">IF(A295="","",IF((IF(OR(B295="",C295="",F295="",N295="",Q295="",AB295="",AC295="",AD295="",AU295=""),"Pflichtfelder fehlen; ","")&amp;IF(AND(ISNUMBER(AC295),AC295&gt;P_MaxWoche),"Wochenstunden &gt; Prüfgrenze; ","")&amp;IF(AND(BF295="Ja",ISNUMBER(AC295),AC295&gt;P_MaxWocheJugend),"Jugendlicher &gt; 40 h/Woche; ","")&amp;IF(AND(ISNUMBER(BD295),BD295&lt;P_Mindestlohn,Q295&lt;&gt;"Auszubildende/r",Q295&lt;&gt;"Praktikant/in"),"Mindestlohn unterschritten?; ","")&amp;IF(AND(Q295="Minijob (geringfügig)",ISNUMBER(BB295),BB295&gt;P_Minijob),"Minijob-Grenze überschritten; ","")&amp;IF(AND(R295="Ja",S295=""),"Befristung ohne Enddatum; ","")&amp;IF(AND(ISNUMBER(O295),ISNUMBER(N295),O295&lt;N295),"Austritt vor Eintritt; ","")&amp;IF(AND(ISNUMBER(AU295),ISNUMBER(AV295),AU295&lt;AV295),"Urlaub unter gesetzl. Minimum; ","")&amp;IF(AND(ISNUMBER(AC295),ISNUMBER(AF295),ABS(N(AC295)-N(AF295))&gt;0.01),"Wochenstd. weichen vom Modell ab; ","")&amp;IF(AND(AI295="Ja",OR(AJ295="",AK295="")),"Kontogrenzen fehlen; ","")&amp;IF(AND(AL295="Mit Gehalt abgegolten (Pauschale)",AM295=""),"Überstunden-Pauschale fehlt; ",""))="","OK",IF(OR(B295="",C295="",F295="",N295="",Q295="",AB295="",AC295="",AD295="",AU295=""),"Pflichtfelder fehlen; ","")&amp;IF(AND(ISNUMBER(AC295),AC295&gt;P_MaxWoche),"Wochenstunden &gt; Prüfgrenze; ","")&amp;IF(AND(BF295="Ja",ISNUMBER(AC295),AC295&gt;P_MaxWocheJugend),"Jugendlicher &gt; 40 h/Woche; ","")&amp;IF(AND(ISNUMBER(BD295),BD295&lt;P_Mindestlohn,Q295&lt;&gt;"Auszubildende/r",Q295&lt;&gt;"Praktikant/in"),"Mindestlohn unterschritten?; ","")&amp;IF(AND(Q295="Minijob (geringfügig)",ISNUMBER(BB295),BB295&gt;P_Minijob),"Minijob-Grenze überschritten; ","")&amp;IF(AND(R295="Ja",S295=""),"Befristung ohne Enddatum; ","")&amp;IF(AND(ISNUMBER(O295),ISNUMBER(N295),O295&lt;N295),"Austritt vor Eintritt; ","")&amp;IF(AND(ISNUMBER(AU295),ISNUMBER(AV295),AU295&lt;AV295),"Urlaub unter gesetzl. Minimum; ","")&amp;IF(AND(ISNUMBER(AC295),ISNUMBER(AF295),ABS(N(AC295)-N(AF295))&gt;0.01),"Wochenstd. weichen vom Modell ab; ","")&amp;IF(AND(AI295="Ja",OR(AJ295="",AK295="")),"Kontogrenzen fehlen; ","")&amp;IF(AND(AL295="Mit Gehalt abgegolten (Pauschale)",AM295=""),"Überstunden-Pauschale fehlt; ","")))</f>
        <v/>
      </c>
      <c r="BH295" s="38"/>
    </row>
    <row r="296" customFormat="false" ht="15" hidden="false" customHeight="false" outlineLevel="0" collapsed="false">
      <c r="A296" s="37"/>
      <c r="B296" s="38"/>
      <c r="C296" s="38"/>
      <c r="D296" s="38"/>
      <c r="E296" s="38"/>
      <c r="F296" s="39"/>
      <c r="G296" s="38"/>
      <c r="H296" s="38"/>
      <c r="I296" s="37"/>
      <c r="J296" s="38"/>
      <c r="K296" s="38"/>
      <c r="L296" s="38"/>
      <c r="M296" s="38"/>
      <c r="N296" s="39"/>
      <c r="O296" s="39"/>
      <c r="P296" s="38"/>
      <c r="Q296" s="38"/>
      <c r="R296" s="38"/>
      <c r="S296" s="39"/>
      <c r="T296" s="39"/>
      <c r="U296" s="38"/>
      <c r="V296" s="38"/>
      <c r="W296" s="37"/>
      <c r="X296" s="38"/>
      <c r="Y296" s="38"/>
      <c r="Z296" s="37"/>
      <c r="AA296" s="38"/>
      <c r="AB296" s="38"/>
      <c r="AC296" s="40"/>
      <c r="AD296" s="41"/>
      <c r="AE296" s="42" t="str">
        <f aca="false">IF(OR(A296="",NOT(ISNUMBER(AC296)),NOT(ISNUMBER(AD296))),"",IF(AD296&gt;0,AC296/AD296,""))</f>
        <v/>
      </c>
      <c r="AF296" s="42" t="str">
        <f aca="false">IF(OR(A296="",AB296=""),"",IFERROR(INDEX(Arbeitszeitmodelle!$C$5:$C$34,MATCH(AB296,Arbeitszeitmodelle!$A$5:$A$34,0)),""))</f>
        <v/>
      </c>
      <c r="AG296" s="38"/>
      <c r="AH296" s="38"/>
      <c r="AI296" s="38"/>
      <c r="AJ296" s="41"/>
      <c r="AK296" s="41"/>
      <c r="AL296" s="38"/>
      <c r="AM296" s="41"/>
      <c r="AN296" s="38"/>
      <c r="AO296" s="38"/>
      <c r="AP296" s="38"/>
      <c r="AQ296" s="38"/>
      <c r="AR296" s="41"/>
      <c r="AS296" s="40"/>
      <c r="AT296" s="39"/>
      <c r="AU296" s="41"/>
      <c r="AV296" s="43" t="str">
        <f aca="false">IF(OR(A296="",NOT(ISNUMBER(AD296))),"",P_MinUrlaubWerktage/6*AD296)</f>
        <v/>
      </c>
      <c r="AW296" s="43" t="str">
        <f aca="false">IF(A296="","",IF(M296="Ja",P_ZusatzSB*IF(ISNUMBER(AD296),AD296,5)/5,0))</f>
        <v/>
      </c>
      <c r="AX296" s="41"/>
      <c r="AY296" s="39"/>
      <c r="AZ296" s="43" t="str">
        <f aca="false">IF(OR(A296="",NOT(ISNUMBER(AU296))),"",SUM(AU296,AW296,AX296))</f>
        <v/>
      </c>
      <c r="BA296" s="38"/>
      <c r="BB296" s="44"/>
      <c r="BC296" s="44"/>
      <c r="BD296" s="45" t="str">
        <f aca="false">IF(A296="","",IF(BA296="Stundenlohn",IF(ISNUMBER(BC296),BC296,""),IF(AND(ISNUMBER(BB296),ISNUMBER(AC296)),IF(AC296&gt;0,BB296*12/(AC296*52),""),"")))</f>
        <v/>
      </c>
      <c r="BE296" s="46" t="str">
        <f aca="false">IF(OR(A296="",NOT(ISNUMBER(F296))),"",IFERROR(DATEDIF(F296,P_Stichtag,"Y"),""))</f>
        <v/>
      </c>
      <c r="BF296" s="47" t="str">
        <f aca="false">IF(OR(A296="",NOT(ISNUMBER(BE296))),"",IF(BE296&lt;18,"Ja","Nein"))</f>
        <v/>
      </c>
      <c r="BG296" s="48" t="str">
        <f aca="false">IF(A296="","",IF((IF(OR(B296="",C296="",F296="",N296="",Q296="",AB296="",AC296="",AD296="",AU296=""),"Pflichtfelder fehlen; ","")&amp;IF(AND(ISNUMBER(AC296),AC296&gt;P_MaxWoche),"Wochenstunden &gt; Prüfgrenze; ","")&amp;IF(AND(BF296="Ja",ISNUMBER(AC296),AC296&gt;P_MaxWocheJugend),"Jugendlicher &gt; 40 h/Woche; ","")&amp;IF(AND(ISNUMBER(BD296),BD296&lt;P_Mindestlohn,Q296&lt;&gt;"Auszubildende/r",Q296&lt;&gt;"Praktikant/in"),"Mindestlohn unterschritten?; ","")&amp;IF(AND(Q296="Minijob (geringfügig)",ISNUMBER(BB296),BB296&gt;P_Minijob),"Minijob-Grenze überschritten; ","")&amp;IF(AND(R296="Ja",S296=""),"Befristung ohne Enddatum; ","")&amp;IF(AND(ISNUMBER(O296),ISNUMBER(N296),O296&lt;N296),"Austritt vor Eintritt; ","")&amp;IF(AND(ISNUMBER(AU296),ISNUMBER(AV296),AU296&lt;AV296),"Urlaub unter gesetzl. Minimum; ","")&amp;IF(AND(ISNUMBER(AC296),ISNUMBER(AF296),ABS(N(AC296)-N(AF296))&gt;0.01),"Wochenstd. weichen vom Modell ab; ","")&amp;IF(AND(AI296="Ja",OR(AJ296="",AK296="")),"Kontogrenzen fehlen; ","")&amp;IF(AND(AL296="Mit Gehalt abgegolten (Pauschale)",AM296=""),"Überstunden-Pauschale fehlt; ",""))="","OK",IF(OR(B296="",C296="",F296="",N296="",Q296="",AB296="",AC296="",AD296="",AU296=""),"Pflichtfelder fehlen; ","")&amp;IF(AND(ISNUMBER(AC296),AC296&gt;P_MaxWoche),"Wochenstunden &gt; Prüfgrenze; ","")&amp;IF(AND(BF296="Ja",ISNUMBER(AC296),AC296&gt;P_MaxWocheJugend),"Jugendlicher &gt; 40 h/Woche; ","")&amp;IF(AND(ISNUMBER(BD296),BD296&lt;P_Mindestlohn,Q296&lt;&gt;"Auszubildende/r",Q296&lt;&gt;"Praktikant/in"),"Mindestlohn unterschritten?; ","")&amp;IF(AND(Q296="Minijob (geringfügig)",ISNUMBER(BB296),BB296&gt;P_Minijob),"Minijob-Grenze überschritten; ","")&amp;IF(AND(R296="Ja",S296=""),"Befristung ohne Enddatum; ","")&amp;IF(AND(ISNUMBER(O296),ISNUMBER(N296),O296&lt;N296),"Austritt vor Eintritt; ","")&amp;IF(AND(ISNUMBER(AU296),ISNUMBER(AV296),AU296&lt;AV296),"Urlaub unter gesetzl. Minimum; ","")&amp;IF(AND(ISNUMBER(AC296),ISNUMBER(AF296),ABS(N(AC296)-N(AF296))&gt;0.01),"Wochenstd. weichen vom Modell ab; ","")&amp;IF(AND(AI296="Ja",OR(AJ296="",AK296="")),"Kontogrenzen fehlen; ","")&amp;IF(AND(AL296="Mit Gehalt abgegolten (Pauschale)",AM296=""),"Überstunden-Pauschale fehlt; ","")))</f>
        <v/>
      </c>
      <c r="BH296" s="38"/>
    </row>
    <row r="297" customFormat="false" ht="15" hidden="false" customHeight="false" outlineLevel="0" collapsed="false">
      <c r="A297" s="37"/>
      <c r="B297" s="38"/>
      <c r="C297" s="38"/>
      <c r="D297" s="38"/>
      <c r="E297" s="38"/>
      <c r="F297" s="39"/>
      <c r="G297" s="38"/>
      <c r="H297" s="38"/>
      <c r="I297" s="37"/>
      <c r="J297" s="38"/>
      <c r="K297" s="38"/>
      <c r="L297" s="38"/>
      <c r="M297" s="38"/>
      <c r="N297" s="39"/>
      <c r="O297" s="39"/>
      <c r="P297" s="38"/>
      <c r="Q297" s="38"/>
      <c r="R297" s="38"/>
      <c r="S297" s="39"/>
      <c r="T297" s="39"/>
      <c r="U297" s="38"/>
      <c r="V297" s="38"/>
      <c r="W297" s="37"/>
      <c r="X297" s="38"/>
      <c r="Y297" s="38"/>
      <c r="Z297" s="37"/>
      <c r="AA297" s="38"/>
      <c r="AB297" s="38"/>
      <c r="AC297" s="40"/>
      <c r="AD297" s="41"/>
      <c r="AE297" s="42" t="str">
        <f aca="false">IF(OR(A297="",NOT(ISNUMBER(AC297)),NOT(ISNUMBER(AD297))),"",IF(AD297&gt;0,AC297/AD297,""))</f>
        <v/>
      </c>
      <c r="AF297" s="42" t="str">
        <f aca="false">IF(OR(A297="",AB297=""),"",IFERROR(INDEX(Arbeitszeitmodelle!$C$5:$C$34,MATCH(AB297,Arbeitszeitmodelle!$A$5:$A$34,0)),""))</f>
        <v/>
      </c>
      <c r="AG297" s="38"/>
      <c r="AH297" s="38"/>
      <c r="AI297" s="38"/>
      <c r="AJ297" s="41"/>
      <c r="AK297" s="41"/>
      <c r="AL297" s="38"/>
      <c r="AM297" s="41"/>
      <c r="AN297" s="38"/>
      <c r="AO297" s="38"/>
      <c r="AP297" s="38"/>
      <c r="AQ297" s="38"/>
      <c r="AR297" s="41"/>
      <c r="AS297" s="40"/>
      <c r="AT297" s="39"/>
      <c r="AU297" s="41"/>
      <c r="AV297" s="43" t="str">
        <f aca="false">IF(OR(A297="",NOT(ISNUMBER(AD297))),"",P_MinUrlaubWerktage/6*AD297)</f>
        <v/>
      </c>
      <c r="AW297" s="43" t="str">
        <f aca="false">IF(A297="","",IF(M297="Ja",P_ZusatzSB*IF(ISNUMBER(AD297),AD297,5)/5,0))</f>
        <v/>
      </c>
      <c r="AX297" s="41"/>
      <c r="AY297" s="39"/>
      <c r="AZ297" s="43" t="str">
        <f aca="false">IF(OR(A297="",NOT(ISNUMBER(AU297))),"",SUM(AU297,AW297,AX297))</f>
        <v/>
      </c>
      <c r="BA297" s="38"/>
      <c r="BB297" s="44"/>
      <c r="BC297" s="44"/>
      <c r="BD297" s="45" t="str">
        <f aca="false">IF(A297="","",IF(BA297="Stundenlohn",IF(ISNUMBER(BC297),BC297,""),IF(AND(ISNUMBER(BB297),ISNUMBER(AC297)),IF(AC297&gt;0,BB297*12/(AC297*52),""),"")))</f>
        <v/>
      </c>
      <c r="BE297" s="46" t="str">
        <f aca="false">IF(OR(A297="",NOT(ISNUMBER(F297))),"",IFERROR(DATEDIF(F297,P_Stichtag,"Y"),""))</f>
        <v/>
      </c>
      <c r="BF297" s="47" t="str">
        <f aca="false">IF(OR(A297="",NOT(ISNUMBER(BE297))),"",IF(BE297&lt;18,"Ja","Nein"))</f>
        <v/>
      </c>
      <c r="BG297" s="48" t="str">
        <f aca="false">IF(A297="","",IF((IF(OR(B297="",C297="",F297="",N297="",Q297="",AB297="",AC297="",AD297="",AU297=""),"Pflichtfelder fehlen; ","")&amp;IF(AND(ISNUMBER(AC297),AC297&gt;P_MaxWoche),"Wochenstunden &gt; Prüfgrenze; ","")&amp;IF(AND(BF297="Ja",ISNUMBER(AC297),AC297&gt;P_MaxWocheJugend),"Jugendlicher &gt; 40 h/Woche; ","")&amp;IF(AND(ISNUMBER(BD297),BD297&lt;P_Mindestlohn,Q297&lt;&gt;"Auszubildende/r",Q297&lt;&gt;"Praktikant/in"),"Mindestlohn unterschritten?; ","")&amp;IF(AND(Q297="Minijob (geringfügig)",ISNUMBER(BB297),BB297&gt;P_Minijob),"Minijob-Grenze überschritten; ","")&amp;IF(AND(R297="Ja",S297=""),"Befristung ohne Enddatum; ","")&amp;IF(AND(ISNUMBER(O297),ISNUMBER(N297),O297&lt;N297),"Austritt vor Eintritt; ","")&amp;IF(AND(ISNUMBER(AU297),ISNUMBER(AV297),AU297&lt;AV297),"Urlaub unter gesetzl. Minimum; ","")&amp;IF(AND(ISNUMBER(AC297),ISNUMBER(AF297),ABS(N(AC297)-N(AF297))&gt;0.01),"Wochenstd. weichen vom Modell ab; ","")&amp;IF(AND(AI297="Ja",OR(AJ297="",AK297="")),"Kontogrenzen fehlen; ","")&amp;IF(AND(AL297="Mit Gehalt abgegolten (Pauschale)",AM297=""),"Überstunden-Pauschale fehlt; ",""))="","OK",IF(OR(B297="",C297="",F297="",N297="",Q297="",AB297="",AC297="",AD297="",AU297=""),"Pflichtfelder fehlen; ","")&amp;IF(AND(ISNUMBER(AC297),AC297&gt;P_MaxWoche),"Wochenstunden &gt; Prüfgrenze; ","")&amp;IF(AND(BF297="Ja",ISNUMBER(AC297),AC297&gt;P_MaxWocheJugend),"Jugendlicher &gt; 40 h/Woche; ","")&amp;IF(AND(ISNUMBER(BD297),BD297&lt;P_Mindestlohn,Q297&lt;&gt;"Auszubildende/r",Q297&lt;&gt;"Praktikant/in"),"Mindestlohn unterschritten?; ","")&amp;IF(AND(Q297="Minijob (geringfügig)",ISNUMBER(BB297),BB297&gt;P_Minijob),"Minijob-Grenze überschritten; ","")&amp;IF(AND(R297="Ja",S297=""),"Befristung ohne Enddatum; ","")&amp;IF(AND(ISNUMBER(O297),ISNUMBER(N297),O297&lt;N297),"Austritt vor Eintritt; ","")&amp;IF(AND(ISNUMBER(AU297),ISNUMBER(AV297),AU297&lt;AV297),"Urlaub unter gesetzl. Minimum; ","")&amp;IF(AND(ISNUMBER(AC297),ISNUMBER(AF297),ABS(N(AC297)-N(AF297))&gt;0.01),"Wochenstd. weichen vom Modell ab; ","")&amp;IF(AND(AI297="Ja",OR(AJ297="",AK297="")),"Kontogrenzen fehlen; ","")&amp;IF(AND(AL297="Mit Gehalt abgegolten (Pauschale)",AM297=""),"Überstunden-Pauschale fehlt; ","")))</f>
        <v/>
      </c>
      <c r="BH297" s="38"/>
    </row>
    <row r="298" customFormat="false" ht="15" hidden="false" customHeight="false" outlineLevel="0" collapsed="false">
      <c r="A298" s="37"/>
      <c r="B298" s="38"/>
      <c r="C298" s="38"/>
      <c r="D298" s="38"/>
      <c r="E298" s="38"/>
      <c r="F298" s="39"/>
      <c r="G298" s="38"/>
      <c r="H298" s="38"/>
      <c r="I298" s="37"/>
      <c r="J298" s="38"/>
      <c r="K298" s="38"/>
      <c r="L298" s="38"/>
      <c r="M298" s="38"/>
      <c r="N298" s="39"/>
      <c r="O298" s="39"/>
      <c r="P298" s="38"/>
      <c r="Q298" s="38"/>
      <c r="R298" s="38"/>
      <c r="S298" s="39"/>
      <c r="T298" s="39"/>
      <c r="U298" s="38"/>
      <c r="V298" s="38"/>
      <c r="W298" s="37"/>
      <c r="X298" s="38"/>
      <c r="Y298" s="38"/>
      <c r="Z298" s="37"/>
      <c r="AA298" s="38"/>
      <c r="AB298" s="38"/>
      <c r="AC298" s="40"/>
      <c r="AD298" s="41"/>
      <c r="AE298" s="42" t="str">
        <f aca="false">IF(OR(A298="",NOT(ISNUMBER(AC298)),NOT(ISNUMBER(AD298))),"",IF(AD298&gt;0,AC298/AD298,""))</f>
        <v/>
      </c>
      <c r="AF298" s="42" t="str">
        <f aca="false">IF(OR(A298="",AB298=""),"",IFERROR(INDEX(Arbeitszeitmodelle!$C$5:$C$34,MATCH(AB298,Arbeitszeitmodelle!$A$5:$A$34,0)),""))</f>
        <v/>
      </c>
      <c r="AG298" s="38"/>
      <c r="AH298" s="38"/>
      <c r="AI298" s="38"/>
      <c r="AJ298" s="41"/>
      <c r="AK298" s="41"/>
      <c r="AL298" s="38"/>
      <c r="AM298" s="41"/>
      <c r="AN298" s="38"/>
      <c r="AO298" s="38"/>
      <c r="AP298" s="38"/>
      <c r="AQ298" s="38"/>
      <c r="AR298" s="41"/>
      <c r="AS298" s="40"/>
      <c r="AT298" s="39"/>
      <c r="AU298" s="41"/>
      <c r="AV298" s="43" t="str">
        <f aca="false">IF(OR(A298="",NOT(ISNUMBER(AD298))),"",P_MinUrlaubWerktage/6*AD298)</f>
        <v/>
      </c>
      <c r="AW298" s="43" t="str">
        <f aca="false">IF(A298="","",IF(M298="Ja",P_ZusatzSB*IF(ISNUMBER(AD298),AD298,5)/5,0))</f>
        <v/>
      </c>
      <c r="AX298" s="41"/>
      <c r="AY298" s="39"/>
      <c r="AZ298" s="43" t="str">
        <f aca="false">IF(OR(A298="",NOT(ISNUMBER(AU298))),"",SUM(AU298,AW298,AX298))</f>
        <v/>
      </c>
      <c r="BA298" s="38"/>
      <c r="BB298" s="44"/>
      <c r="BC298" s="44"/>
      <c r="BD298" s="45" t="str">
        <f aca="false">IF(A298="","",IF(BA298="Stundenlohn",IF(ISNUMBER(BC298),BC298,""),IF(AND(ISNUMBER(BB298),ISNUMBER(AC298)),IF(AC298&gt;0,BB298*12/(AC298*52),""),"")))</f>
        <v/>
      </c>
      <c r="BE298" s="46" t="str">
        <f aca="false">IF(OR(A298="",NOT(ISNUMBER(F298))),"",IFERROR(DATEDIF(F298,P_Stichtag,"Y"),""))</f>
        <v/>
      </c>
      <c r="BF298" s="47" t="str">
        <f aca="false">IF(OR(A298="",NOT(ISNUMBER(BE298))),"",IF(BE298&lt;18,"Ja","Nein"))</f>
        <v/>
      </c>
      <c r="BG298" s="48" t="str">
        <f aca="false">IF(A298="","",IF((IF(OR(B298="",C298="",F298="",N298="",Q298="",AB298="",AC298="",AD298="",AU298=""),"Pflichtfelder fehlen; ","")&amp;IF(AND(ISNUMBER(AC298),AC298&gt;P_MaxWoche),"Wochenstunden &gt; Prüfgrenze; ","")&amp;IF(AND(BF298="Ja",ISNUMBER(AC298),AC298&gt;P_MaxWocheJugend),"Jugendlicher &gt; 40 h/Woche; ","")&amp;IF(AND(ISNUMBER(BD298),BD298&lt;P_Mindestlohn,Q298&lt;&gt;"Auszubildende/r",Q298&lt;&gt;"Praktikant/in"),"Mindestlohn unterschritten?; ","")&amp;IF(AND(Q298="Minijob (geringfügig)",ISNUMBER(BB298),BB298&gt;P_Minijob),"Minijob-Grenze überschritten; ","")&amp;IF(AND(R298="Ja",S298=""),"Befristung ohne Enddatum; ","")&amp;IF(AND(ISNUMBER(O298),ISNUMBER(N298),O298&lt;N298),"Austritt vor Eintritt; ","")&amp;IF(AND(ISNUMBER(AU298),ISNUMBER(AV298),AU298&lt;AV298),"Urlaub unter gesetzl. Minimum; ","")&amp;IF(AND(ISNUMBER(AC298),ISNUMBER(AF298),ABS(N(AC298)-N(AF298))&gt;0.01),"Wochenstd. weichen vom Modell ab; ","")&amp;IF(AND(AI298="Ja",OR(AJ298="",AK298="")),"Kontogrenzen fehlen; ","")&amp;IF(AND(AL298="Mit Gehalt abgegolten (Pauschale)",AM298=""),"Überstunden-Pauschale fehlt; ",""))="","OK",IF(OR(B298="",C298="",F298="",N298="",Q298="",AB298="",AC298="",AD298="",AU298=""),"Pflichtfelder fehlen; ","")&amp;IF(AND(ISNUMBER(AC298),AC298&gt;P_MaxWoche),"Wochenstunden &gt; Prüfgrenze; ","")&amp;IF(AND(BF298="Ja",ISNUMBER(AC298),AC298&gt;P_MaxWocheJugend),"Jugendlicher &gt; 40 h/Woche; ","")&amp;IF(AND(ISNUMBER(BD298),BD298&lt;P_Mindestlohn,Q298&lt;&gt;"Auszubildende/r",Q298&lt;&gt;"Praktikant/in"),"Mindestlohn unterschritten?; ","")&amp;IF(AND(Q298="Minijob (geringfügig)",ISNUMBER(BB298),BB298&gt;P_Minijob),"Minijob-Grenze überschritten; ","")&amp;IF(AND(R298="Ja",S298=""),"Befristung ohne Enddatum; ","")&amp;IF(AND(ISNUMBER(O298),ISNUMBER(N298),O298&lt;N298),"Austritt vor Eintritt; ","")&amp;IF(AND(ISNUMBER(AU298),ISNUMBER(AV298),AU298&lt;AV298),"Urlaub unter gesetzl. Minimum; ","")&amp;IF(AND(ISNUMBER(AC298),ISNUMBER(AF298),ABS(N(AC298)-N(AF298))&gt;0.01),"Wochenstd. weichen vom Modell ab; ","")&amp;IF(AND(AI298="Ja",OR(AJ298="",AK298="")),"Kontogrenzen fehlen; ","")&amp;IF(AND(AL298="Mit Gehalt abgegolten (Pauschale)",AM298=""),"Überstunden-Pauschale fehlt; ","")))</f>
        <v/>
      </c>
      <c r="BH298" s="38"/>
    </row>
    <row r="299" customFormat="false" ht="15" hidden="false" customHeight="false" outlineLevel="0" collapsed="false">
      <c r="A299" s="37"/>
      <c r="B299" s="38"/>
      <c r="C299" s="38"/>
      <c r="D299" s="38"/>
      <c r="E299" s="38"/>
      <c r="F299" s="39"/>
      <c r="G299" s="38"/>
      <c r="H299" s="38"/>
      <c r="I299" s="37"/>
      <c r="J299" s="38"/>
      <c r="K299" s="38"/>
      <c r="L299" s="38"/>
      <c r="M299" s="38"/>
      <c r="N299" s="39"/>
      <c r="O299" s="39"/>
      <c r="P299" s="38"/>
      <c r="Q299" s="38"/>
      <c r="R299" s="38"/>
      <c r="S299" s="39"/>
      <c r="T299" s="39"/>
      <c r="U299" s="38"/>
      <c r="V299" s="38"/>
      <c r="W299" s="37"/>
      <c r="X299" s="38"/>
      <c r="Y299" s="38"/>
      <c r="Z299" s="37"/>
      <c r="AA299" s="38"/>
      <c r="AB299" s="38"/>
      <c r="AC299" s="40"/>
      <c r="AD299" s="41"/>
      <c r="AE299" s="42" t="str">
        <f aca="false">IF(OR(A299="",NOT(ISNUMBER(AC299)),NOT(ISNUMBER(AD299))),"",IF(AD299&gt;0,AC299/AD299,""))</f>
        <v/>
      </c>
      <c r="AF299" s="42" t="str">
        <f aca="false">IF(OR(A299="",AB299=""),"",IFERROR(INDEX(Arbeitszeitmodelle!$C$5:$C$34,MATCH(AB299,Arbeitszeitmodelle!$A$5:$A$34,0)),""))</f>
        <v/>
      </c>
      <c r="AG299" s="38"/>
      <c r="AH299" s="38"/>
      <c r="AI299" s="38"/>
      <c r="AJ299" s="41"/>
      <c r="AK299" s="41"/>
      <c r="AL299" s="38"/>
      <c r="AM299" s="41"/>
      <c r="AN299" s="38"/>
      <c r="AO299" s="38"/>
      <c r="AP299" s="38"/>
      <c r="AQ299" s="38"/>
      <c r="AR299" s="41"/>
      <c r="AS299" s="40"/>
      <c r="AT299" s="39"/>
      <c r="AU299" s="41"/>
      <c r="AV299" s="43" t="str">
        <f aca="false">IF(OR(A299="",NOT(ISNUMBER(AD299))),"",P_MinUrlaubWerktage/6*AD299)</f>
        <v/>
      </c>
      <c r="AW299" s="43" t="str">
        <f aca="false">IF(A299="","",IF(M299="Ja",P_ZusatzSB*IF(ISNUMBER(AD299),AD299,5)/5,0))</f>
        <v/>
      </c>
      <c r="AX299" s="41"/>
      <c r="AY299" s="39"/>
      <c r="AZ299" s="43" t="str">
        <f aca="false">IF(OR(A299="",NOT(ISNUMBER(AU299))),"",SUM(AU299,AW299,AX299))</f>
        <v/>
      </c>
      <c r="BA299" s="38"/>
      <c r="BB299" s="44"/>
      <c r="BC299" s="44"/>
      <c r="BD299" s="45" t="str">
        <f aca="false">IF(A299="","",IF(BA299="Stundenlohn",IF(ISNUMBER(BC299),BC299,""),IF(AND(ISNUMBER(BB299),ISNUMBER(AC299)),IF(AC299&gt;0,BB299*12/(AC299*52),""),"")))</f>
        <v/>
      </c>
      <c r="BE299" s="46" t="str">
        <f aca="false">IF(OR(A299="",NOT(ISNUMBER(F299))),"",IFERROR(DATEDIF(F299,P_Stichtag,"Y"),""))</f>
        <v/>
      </c>
      <c r="BF299" s="47" t="str">
        <f aca="false">IF(OR(A299="",NOT(ISNUMBER(BE299))),"",IF(BE299&lt;18,"Ja","Nein"))</f>
        <v/>
      </c>
      <c r="BG299" s="48" t="str">
        <f aca="false">IF(A299="","",IF((IF(OR(B299="",C299="",F299="",N299="",Q299="",AB299="",AC299="",AD299="",AU299=""),"Pflichtfelder fehlen; ","")&amp;IF(AND(ISNUMBER(AC299),AC299&gt;P_MaxWoche),"Wochenstunden &gt; Prüfgrenze; ","")&amp;IF(AND(BF299="Ja",ISNUMBER(AC299),AC299&gt;P_MaxWocheJugend),"Jugendlicher &gt; 40 h/Woche; ","")&amp;IF(AND(ISNUMBER(BD299),BD299&lt;P_Mindestlohn,Q299&lt;&gt;"Auszubildende/r",Q299&lt;&gt;"Praktikant/in"),"Mindestlohn unterschritten?; ","")&amp;IF(AND(Q299="Minijob (geringfügig)",ISNUMBER(BB299),BB299&gt;P_Minijob),"Minijob-Grenze überschritten; ","")&amp;IF(AND(R299="Ja",S299=""),"Befristung ohne Enddatum; ","")&amp;IF(AND(ISNUMBER(O299),ISNUMBER(N299),O299&lt;N299),"Austritt vor Eintritt; ","")&amp;IF(AND(ISNUMBER(AU299),ISNUMBER(AV299),AU299&lt;AV299),"Urlaub unter gesetzl. Minimum; ","")&amp;IF(AND(ISNUMBER(AC299),ISNUMBER(AF299),ABS(N(AC299)-N(AF299))&gt;0.01),"Wochenstd. weichen vom Modell ab; ","")&amp;IF(AND(AI299="Ja",OR(AJ299="",AK299="")),"Kontogrenzen fehlen; ","")&amp;IF(AND(AL299="Mit Gehalt abgegolten (Pauschale)",AM299=""),"Überstunden-Pauschale fehlt; ",""))="","OK",IF(OR(B299="",C299="",F299="",N299="",Q299="",AB299="",AC299="",AD299="",AU299=""),"Pflichtfelder fehlen; ","")&amp;IF(AND(ISNUMBER(AC299),AC299&gt;P_MaxWoche),"Wochenstunden &gt; Prüfgrenze; ","")&amp;IF(AND(BF299="Ja",ISNUMBER(AC299),AC299&gt;P_MaxWocheJugend),"Jugendlicher &gt; 40 h/Woche; ","")&amp;IF(AND(ISNUMBER(BD299),BD299&lt;P_Mindestlohn,Q299&lt;&gt;"Auszubildende/r",Q299&lt;&gt;"Praktikant/in"),"Mindestlohn unterschritten?; ","")&amp;IF(AND(Q299="Minijob (geringfügig)",ISNUMBER(BB299),BB299&gt;P_Minijob),"Minijob-Grenze überschritten; ","")&amp;IF(AND(R299="Ja",S299=""),"Befristung ohne Enddatum; ","")&amp;IF(AND(ISNUMBER(O299),ISNUMBER(N299),O299&lt;N299),"Austritt vor Eintritt; ","")&amp;IF(AND(ISNUMBER(AU299),ISNUMBER(AV299),AU299&lt;AV299),"Urlaub unter gesetzl. Minimum; ","")&amp;IF(AND(ISNUMBER(AC299),ISNUMBER(AF299),ABS(N(AC299)-N(AF299))&gt;0.01),"Wochenstd. weichen vom Modell ab; ","")&amp;IF(AND(AI299="Ja",OR(AJ299="",AK299="")),"Kontogrenzen fehlen; ","")&amp;IF(AND(AL299="Mit Gehalt abgegolten (Pauschale)",AM299=""),"Überstunden-Pauschale fehlt; ","")))</f>
        <v/>
      </c>
      <c r="BH299" s="38"/>
    </row>
    <row r="300" customFormat="false" ht="15" hidden="false" customHeight="false" outlineLevel="0" collapsed="false">
      <c r="A300" s="37"/>
      <c r="B300" s="38"/>
      <c r="C300" s="38"/>
      <c r="D300" s="38"/>
      <c r="E300" s="38"/>
      <c r="F300" s="39"/>
      <c r="G300" s="38"/>
      <c r="H300" s="38"/>
      <c r="I300" s="37"/>
      <c r="J300" s="38"/>
      <c r="K300" s="38"/>
      <c r="L300" s="38"/>
      <c r="M300" s="38"/>
      <c r="N300" s="39"/>
      <c r="O300" s="39"/>
      <c r="P300" s="38"/>
      <c r="Q300" s="38"/>
      <c r="R300" s="38"/>
      <c r="S300" s="39"/>
      <c r="T300" s="39"/>
      <c r="U300" s="38"/>
      <c r="V300" s="38"/>
      <c r="W300" s="37"/>
      <c r="X300" s="38"/>
      <c r="Y300" s="38"/>
      <c r="Z300" s="37"/>
      <c r="AA300" s="38"/>
      <c r="AB300" s="38"/>
      <c r="AC300" s="40"/>
      <c r="AD300" s="41"/>
      <c r="AE300" s="42" t="str">
        <f aca="false">IF(OR(A300="",NOT(ISNUMBER(AC300)),NOT(ISNUMBER(AD300))),"",IF(AD300&gt;0,AC300/AD300,""))</f>
        <v/>
      </c>
      <c r="AF300" s="42" t="str">
        <f aca="false">IF(OR(A300="",AB300=""),"",IFERROR(INDEX(Arbeitszeitmodelle!$C$5:$C$34,MATCH(AB300,Arbeitszeitmodelle!$A$5:$A$34,0)),""))</f>
        <v/>
      </c>
      <c r="AG300" s="38"/>
      <c r="AH300" s="38"/>
      <c r="AI300" s="38"/>
      <c r="AJ300" s="41"/>
      <c r="AK300" s="41"/>
      <c r="AL300" s="38"/>
      <c r="AM300" s="41"/>
      <c r="AN300" s="38"/>
      <c r="AO300" s="38"/>
      <c r="AP300" s="38"/>
      <c r="AQ300" s="38"/>
      <c r="AR300" s="41"/>
      <c r="AS300" s="40"/>
      <c r="AT300" s="39"/>
      <c r="AU300" s="41"/>
      <c r="AV300" s="43" t="str">
        <f aca="false">IF(OR(A300="",NOT(ISNUMBER(AD300))),"",P_MinUrlaubWerktage/6*AD300)</f>
        <v/>
      </c>
      <c r="AW300" s="43" t="str">
        <f aca="false">IF(A300="","",IF(M300="Ja",P_ZusatzSB*IF(ISNUMBER(AD300),AD300,5)/5,0))</f>
        <v/>
      </c>
      <c r="AX300" s="41"/>
      <c r="AY300" s="39"/>
      <c r="AZ300" s="43" t="str">
        <f aca="false">IF(OR(A300="",NOT(ISNUMBER(AU300))),"",SUM(AU300,AW300,AX300))</f>
        <v/>
      </c>
      <c r="BA300" s="38"/>
      <c r="BB300" s="44"/>
      <c r="BC300" s="44"/>
      <c r="BD300" s="45" t="str">
        <f aca="false">IF(A300="","",IF(BA300="Stundenlohn",IF(ISNUMBER(BC300),BC300,""),IF(AND(ISNUMBER(BB300),ISNUMBER(AC300)),IF(AC300&gt;0,BB300*12/(AC300*52),""),"")))</f>
        <v/>
      </c>
      <c r="BE300" s="46" t="str">
        <f aca="false">IF(OR(A300="",NOT(ISNUMBER(F300))),"",IFERROR(DATEDIF(F300,P_Stichtag,"Y"),""))</f>
        <v/>
      </c>
      <c r="BF300" s="47" t="str">
        <f aca="false">IF(OR(A300="",NOT(ISNUMBER(BE300))),"",IF(BE300&lt;18,"Ja","Nein"))</f>
        <v/>
      </c>
      <c r="BG300" s="48" t="str">
        <f aca="false">IF(A300="","",IF((IF(OR(B300="",C300="",F300="",N300="",Q300="",AB300="",AC300="",AD300="",AU300=""),"Pflichtfelder fehlen; ","")&amp;IF(AND(ISNUMBER(AC300),AC300&gt;P_MaxWoche),"Wochenstunden &gt; Prüfgrenze; ","")&amp;IF(AND(BF300="Ja",ISNUMBER(AC300),AC300&gt;P_MaxWocheJugend),"Jugendlicher &gt; 40 h/Woche; ","")&amp;IF(AND(ISNUMBER(BD300),BD300&lt;P_Mindestlohn,Q300&lt;&gt;"Auszubildende/r",Q300&lt;&gt;"Praktikant/in"),"Mindestlohn unterschritten?; ","")&amp;IF(AND(Q300="Minijob (geringfügig)",ISNUMBER(BB300),BB300&gt;P_Minijob),"Minijob-Grenze überschritten; ","")&amp;IF(AND(R300="Ja",S300=""),"Befristung ohne Enddatum; ","")&amp;IF(AND(ISNUMBER(O300),ISNUMBER(N300),O300&lt;N300),"Austritt vor Eintritt; ","")&amp;IF(AND(ISNUMBER(AU300),ISNUMBER(AV300),AU300&lt;AV300),"Urlaub unter gesetzl. Minimum; ","")&amp;IF(AND(ISNUMBER(AC300),ISNUMBER(AF300),ABS(N(AC300)-N(AF300))&gt;0.01),"Wochenstd. weichen vom Modell ab; ","")&amp;IF(AND(AI300="Ja",OR(AJ300="",AK300="")),"Kontogrenzen fehlen; ","")&amp;IF(AND(AL300="Mit Gehalt abgegolten (Pauschale)",AM300=""),"Überstunden-Pauschale fehlt; ",""))="","OK",IF(OR(B300="",C300="",F300="",N300="",Q300="",AB300="",AC300="",AD300="",AU300=""),"Pflichtfelder fehlen; ","")&amp;IF(AND(ISNUMBER(AC300),AC300&gt;P_MaxWoche),"Wochenstunden &gt; Prüfgrenze; ","")&amp;IF(AND(BF300="Ja",ISNUMBER(AC300),AC300&gt;P_MaxWocheJugend),"Jugendlicher &gt; 40 h/Woche; ","")&amp;IF(AND(ISNUMBER(BD300),BD300&lt;P_Mindestlohn,Q300&lt;&gt;"Auszubildende/r",Q300&lt;&gt;"Praktikant/in"),"Mindestlohn unterschritten?; ","")&amp;IF(AND(Q300="Minijob (geringfügig)",ISNUMBER(BB300),BB300&gt;P_Minijob),"Minijob-Grenze überschritten; ","")&amp;IF(AND(R300="Ja",S300=""),"Befristung ohne Enddatum; ","")&amp;IF(AND(ISNUMBER(O300),ISNUMBER(N300),O300&lt;N300),"Austritt vor Eintritt; ","")&amp;IF(AND(ISNUMBER(AU300),ISNUMBER(AV300),AU300&lt;AV300),"Urlaub unter gesetzl. Minimum; ","")&amp;IF(AND(ISNUMBER(AC300),ISNUMBER(AF300),ABS(N(AC300)-N(AF300))&gt;0.01),"Wochenstd. weichen vom Modell ab; ","")&amp;IF(AND(AI300="Ja",OR(AJ300="",AK300="")),"Kontogrenzen fehlen; ","")&amp;IF(AND(AL300="Mit Gehalt abgegolten (Pauschale)",AM300=""),"Überstunden-Pauschale fehlt; ","")))</f>
        <v/>
      </c>
      <c r="BH300" s="38"/>
    </row>
    <row r="301" customFormat="false" ht="15" hidden="false" customHeight="false" outlineLevel="0" collapsed="false">
      <c r="A301" s="37"/>
      <c r="B301" s="38"/>
      <c r="C301" s="38"/>
      <c r="D301" s="38"/>
      <c r="E301" s="38"/>
      <c r="F301" s="39"/>
      <c r="G301" s="38"/>
      <c r="H301" s="38"/>
      <c r="I301" s="37"/>
      <c r="J301" s="38"/>
      <c r="K301" s="38"/>
      <c r="L301" s="38"/>
      <c r="M301" s="38"/>
      <c r="N301" s="39"/>
      <c r="O301" s="39"/>
      <c r="P301" s="38"/>
      <c r="Q301" s="38"/>
      <c r="R301" s="38"/>
      <c r="S301" s="39"/>
      <c r="T301" s="39"/>
      <c r="U301" s="38"/>
      <c r="V301" s="38"/>
      <c r="W301" s="37"/>
      <c r="X301" s="38"/>
      <c r="Y301" s="38"/>
      <c r="Z301" s="37"/>
      <c r="AA301" s="38"/>
      <c r="AB301" s="38"/>
      <c r="AC301" s="40"/>
      <c r="AD301" s="41"/>
      <c r="AE301" s="42" t="str">
        <f aca="false">IF(OR(A301="",NOT(ISNUMBER(AC301)),NOT(ISNUMBER(AD301))),"",IF(AD301&gt;0,AC301/AD301,""))</f>
        <v/>
      </c>
      <c r="AF301" s="42" t="str">
        <f aca="false">IF(OR(A301="",AB301=""),"",IFERROR(INDEX(Arbeitszeitmodelle!$C$5:$C$34,MATCH(AB301,Arbeitszeitmodelle!$A$5:$A$34,0)),""))</f>
        <v/>
      </c>
      <c r="AG301" s="38"/>
      <c r="AH301" s="38"/>
      <c r="AI301" s="38"/>
      <c r="AJ301" s="41"/>
      <c r="AK301" s="41"/>
      <c r="AL301" s="38"/>
      <c r="AM301" s="41"/>
      <c r="AN301" s="38"/>
      <c r="AO301" s="38"/>
      <c r="AP301" s="38"/>
      <c r="AQ301" s="38"/>
      <c r="AR301" s="41"/>
      <c r="AS301" s="40"/>
      <c r="AT301" s="39"/>
      <c r="AU301" s="41"/>
      <c r="AV301" s="43" t="str">
        <f aca="false">IF(OR(A301="",NOT(ISNUMBER(AD301))),"",P_MinUrlaubWerktage/6*AD301)</f>
        <v/>
      </c>
      <c r="AW301" s="43" t="str">
        <f aca="false">IF(A301="","",IF(M301="Ja",P_ZusatzSB*IF(ISNUMBER(AD301),AD301,5)/5,0))</f>
        <v/>
      </c>
      <c r="AX301" s="41"/>
      <c r="AY301" s="39"/>
      <c r="AZ301" s="43" t="str">
        <f aca="false">IF(OR(A301="",NOT(ISNUMBER(AU301))),"",SUM(AU301,AW301,AX301))</f>
        <v/>
      </c>
      <c r="BA301" s="38"/>
      <c r="BB301" s="44"/>
      <c r="BC301" s="44"/>
      <c r="BD301" s="45" t="str">
        <f aca="false">IF(A301="","",IF(BA301="Stundenlohn",IF(ISNUMBER(BC301),BC301,""),IF(AND(ISNUMBER(BB301),ISNUMBER(AC301)),IF(AC301&gt;0,BB301*12/(AC301*52),""),"")))</f>
        <v/>
      </c>
      <c r="BE301" s="46" t="str">
        <f aca="false">IF(OR(A301="",NOT(ISNUMBER(F301))),"",IFERROR(DATEDIF(F301,P_Stichtag,"Y"),""))</f>
        <v/>
      </c>
      <c r="BF301" s="47" t="str">
        <f aca="false">IF(OR(A301="",NOT(ISNUMBER(BE301))),"",IF(BE301&lt;18,"Ja","Nein"))</f>
        <v/>
      </c>
      <c r="BG301" s="48" t="str">
        <f aca="false">IF(A301="","",IF((IF(OR(B301="",C301="",F301="",N301="",Q301="",AB301="",AC301="",AD301="",AU301=""),"Pflichtfelder fehlen; ","")&amp;IF(AND(ISNUMBER(AC301),AC301&gt;P_MaxWoche),"Wochenstunden &gt; Prüfgrenze; ","")&amp;IF(AND(BF301="Ja",ISNUMBER(AC301),AC301&gt;P_MaxWocheJugend),"Jugendlicher &gt; 40 h/Woche; ","")&amp;IF(AND(ISNUMBER(BD301),BD301&lt;P_Mindestlohn,Q301&lt;&gt;"Auszubildende/r",Q301&lt;&gt;"Praktikant/in"),"Mindestlohn unterschritten?; ","")&amp;IF(AND(Q301="Minijob (geringfügig)",ISNUMBER(BB301),BB301&gt;P_Minijob),"Minijob-Grenze überschritten; ","")&amp;IF(AND(R301="Ja",S301=""),"Befristung ohne Enddatum; ","")&amp;IF(AND(ISNUMBER(O301),ISNUMBER(N301),O301&lt;N301),"Austritt vor Eintritt; ","")&amp;IF(AND(ISNUMBER(AU301),ISNUMBER(AV301),AU301&lt;AV301),"Urlaub unter gesetzl. Minimum; ","")&amp;IF(AND(ISNUMBER(AC301),ISNUMBER(AF301),ABS(N(AC301)-N(AF301))&gt;0.01),"Wochenstd. weichen vom Modell ab; ","")&amp;IF(AND(AI301="Ja",OR(AJ301="",AK301="")),"Kontogrenzen fehlen; ","")&amp;IF(AND(AL301="Mit Gehalt abgegolten (Pauschale)",AM301=""),"Überstunden-Pauschale fehlt; ",""))="","OK",IF(OR(B301="",C301="",F301="",N301="",Q301="",AB301="",AC301="",AD301="",AU301=""),"Pflichtfelder fehlen; ","")&amp;IF(AND(ISNUMBER(AC301),AC301&gt;P_MaxWoche),"Wochenstunden &gt; Prüfgrenze; ","")&amp;IF(AND(BF301="Ja",ISNUMBER(AC301),AC301&gt;P_MaxWocheJugend),"Jugendlicher &gt; 40 h/Woche; ","")&amp;IF(AND(ISNUMBER(BD301),BD301&lt;P_Mindestlohn,Q301&lt;&gt;"Auszubildende/r",Q301&lt;&gt;"Praktikant/in"),"Mindestlohn unterschritten?; ","")&amp;IF(AND(Q301="Minijob (geringfügig)",ISNUMBER(BB301),BB301&gt;P_Minijob),"Minijob-Grenze überschritten; ","")&amp;IF(AND(R301="Ja",S301=""),"Befristung ohne Enddatum; ","")&amp;IF(AND(ISNUMBER(O301),ISNUMBER(N301),O301&lt;N301),"Austritt vor Eintritt; ","")&amp;IF(AND(ISNUMBER(AU301),ISNUMBER(AV301),AU301&lt;AV301),"Urlaub unter gesetzl. Minimum; ","")&amp;IF(AND(ISNUMBER(AC301),ISNUMBER(AF301),ABS(N(AC301)-N(AF301))&gt;0.01),"Wochenstd. weichen vom Modell ab; ","")&amp;IF(AND(AI301="Ja",OR(AJ301="",AK301="")),"Kontogrenzen fehlen; ","")&amp;IF(AND(AL301="Mit Gehalt abgegolten (Pauschale)",AM301=""),"Überstunden-Pauschale fehlt; ","")))</f>
        <v/>
      </c>
      <c r="BH301" s="38"/>
    </row>
    <row r="302" customFormat="false" ht="15" hidden="false" customHeight="false" outlineLevel="0" collapsed="false">
      <c r="A302" s="37"/>
      <c r="B302" s="38"/>
      <c r="C302" s="38"/>
      <c r="D302" s="38"/>
      <c r="E302" s="38"/>
      <c r="F302" s="39"/>
      <c r="G302" s="38"/>
      <c r="H302" s="38"/>
      <c r="I302" s="37"/>
      <c r="J302" s="38"/>
      <c r="K302" s="38"/>
      <c r="L302" s="38"/>
      <c r="M302" s="38"/>
      <c r="N302" s="39"/>
      <c r="O302" s="39"/>
      <c r="P302" s="38"/>
      <c r="Q302" s="38"/>
      <c r="R302" s="38"/>
      <c r="S302" s="39"/>
      <c r="T302" s="39"/>
      <c r="U302" s="38"/>
      <c r="V302" s="38"/>
      <c r="W302" s="37"/>
      <c r="X302" s="38"/>
      <c r="Y302" s="38"/>
      <c r="Z302" s="37"/>
      <c r="AA302" s="38"/>
      <c r="AB302" s="38"/>
      <c r="AC302" s="40"/>
      <c r="AD302" s="41"/>
      <c r="AE302" s="42" t="str">
        <f aca="false">IF(OR(A302="",NOT(ISNUMBER(AC302)),NOT(ISNUMBER(AD302))),"",IF(AD302&gt;0,AC302/AD302,""))</f>
        <v/>
      </c>
      <c r="AF302" s="42" t="str">
        <f aca="false">IF(OR(A302="",AB302=""),"",IFERROR(INDEX(Arbeitszeitmodelle!$C$5:$C$34,MATCH(AB302,Arbeitszeitmodelle!$A$5:$A$34,0)),""))</f>
        <v/>
      </c>
      <c r="AG302" s="38"/>
      <c r="AH302" s="38"/>
      <c r="AI302" s="38"/>
      <c r="AJ302" s="41"/>
      <c r="AK302" s="41"/>
      <c r="AL302" s="38"/>
      <c r="AM302" s="41"/>
      <c r="AN302" s="38"/>
      <c r="AO302" s="38"/>
      <c r="AP302" s="38"/>
      <c r="AQ302" s="38"/>
      <c r="AR302" s="41"/>
      <c r="AS302" s="40"/>
      <c r="AT302" s="39"/>
      <c r="AU302" s="41"/>
      <c r="AV302" s="43" t="str">
        <f aca="false">IF(OR(A302="",NOT(ISNUMBER(AD302))),"",P_MinUrlaubWerktage/6*AD302)</f>
        <v/>
      </c>
      <c r="AW302" s="43" t="str">
        <f aca="false">IF(A302="","",IF(M302="Ja",P_ZusatzSB*IF(ISNUMBER(AD302),AD302,5)/5,0))</f>
        <v/>
      </c>
      <c r="AX302" s="41"/>
      <c r="AY302" s="39"/>
      <c r="AZ302" s="43" t="str">
        <f aca="false">IF(OR(A302="",NOT(ISNUMBER(AU302))),"",SUM(AU302,AW302,AX302))</f>
        <v/>
      </c>
      <c r="BA302" s="38"/>
      <c r="BB302" s="44"/>
      <c r="BC302" s="44"/>
      <c r="BD302" s="45" t="str">
        <f aca="false">IF(A302="","",IF(BA302="Stundenlohn",IF(ISNUMBER(BC302),BC302,""),IF(AND(ISNUMBER(BB302),ISNUMBER(AC302)),IF(AC302&gt;0,BB302*12/(AC302*52),""),"")))</f>
        <v/>
      </c>
      <c r="BE302" s="46" t="str">
        <f aca="false">IF(OR(A302="",NOT(ISNUMBER(F302))),"",IFERROR(DATEDIF(F302,P_Stichtag,"Y"),""))</f>
        <v/>
      </c>
      <c r="BF302" s="47" t="str">
        <f aca="false">IF(OR(A302="",NOT(ISNUMBER(BE302))),"",IF(BE302&lt;18,"Ja","Nein"))</f>
        <v/>
      </c>
      <c r="BG302" s="48" t="str">
        <f aca="false">IF(A302="","",IF((IF(OR(B302="",C302="",F302="",N302="",Q302="",AB302="",AC302="",AD302="",AU302=""),"Pflichtfelder fehlen; ","")&amp;IF(AND(ISNUMBER(AC302),AC302&gt;P_MaxWoche),"Wochenstunden &gt; Prüfgrenze; ","")&amp;IF(AND(BF302="Ja",ISNUMBER(AC302),AC302&gt;P_MaxWocheJugend),"Jugendlicher &gt; 40 h/Woche; ","")&amp;IF(AND(ISNUMBER(BD302),BD302&lt;P_Mindestlohn,Q302&lt;&gt;"Auszubildende/r",Q302&lt;&gt;"Praktikant/in"),"Mindestlohn unterschritten?; ","")&amp;IF(AND(Q302="Minijob (geringfügig)",ISNUMBER(BB302),BB302&gt;P_Minijob),"Minijob-Grenze überschritten; ","")&amp;IF(AND(R302="Ja",S302=""),"Befristung ohne Enddatum; ","")&amp;IF(AND(ISNUMBER(O302),ISNUMBER(N302),O302&lt;N302),"Austritt vor Eintritt; ","")&amp;IF(AND(ISNUMBER(AU302),ISNUMBER(AV302),AU302&lt;AV302),"Urlaub unter gesetzl. Minimum; ","")&amp;IF(AND(ISNUMBER(AC302),ISNUMBER(AF302),ABS(N(AC302)-N(AF302))&gt;0.01),"Wochenstd. weichen vom Modell ab; ","")&amp;IF(AND(AI302="Ja",OR(AJ302="",AK302="")),"Kontogrenzen fehlen; ","")&amp;IF(AND(AL302="Mit Gehalt abgegolten (Pauschale)",AM302=""),"Überstunden-Pauschale fehlt; ",""))="","OK",IF(OR(B302="",C302="",F302="",N302="",Q302="",AB302="",AC302="",AD302="",AU302=""),"Pflichtfelder fehlen; ","")&amp;IF(AND(ISNUMBER(AC302),AC302&gt;P_MaxWoche),"Wochenstunden &gt; Prüfgrenze; ","")&amp;IF(AND(BF302="Ja",ISNUMBER(AC302),AC302&gt;P_MaxWocheJugend),"Jugendlicher &gt; 40 h/Woche; ","")&amp;IF(AND(ISNUMBER(BD302),BD302&lt;P_Mindestlohn,Q302&lt;&gt;"Auszubildende/r",Q302&lt;&gt;"Praktikant/in"),"Mindestlohn unterschritten?; ","")&amp;IF(AND(Q302="Minijob (geringfügig)",ISNUMBER(BB302),BB302&gt;P_Minijob),"Minijob-Grenze überschritten; ","")&amp;IF(AND(R302="Ja",S302=""),"Befristung ohne Enddatum; ","")&amp;IF(AND(ISNUMBER(O302),ISNUMBER(N302),O302&lt;N302),"Austritt vor Eintritt; ","")&amp;IF(AND(ISNUMBER(AU302),ISNUMBER(AV302),AU302&lt;AV302),"Urlaub unter gesetzl. Minimum; ","")&amp;IF(AND(ISNUMBER(AC302),ISNUMBER(AF302),ABS(N(AC302)-N(AF302))&gt;0.01),"Wochenstd. weichen vom Modell ab; ","")&amp;IF(AND(AI302="Ja",OR(AJ302="",AK302="")),"Kontogrenzen fehlen; ","")&amp;IF(AND(AL302="Mit Gehalt abgegolten (Pauschale)",AM302=""),"Überstunden-Pauschale fehlt; ","")))</f>
        <v/>
      </c>
      <c r="BH302" s="38"/>
    </row>
    <row r="303" customFormat="false" ht="15" hidden="false" customHeight="false" outlineLevel="0" collapsed="false">
      <c r="A303" s="37"/>
      <c r="B303" s="38"/>
      <c r="C303" s="38"/>
      <c r="D303" s="38"/>
      <c r="E303" s="38"/>
      <c r="F303" s="39"/>
      <c r="G303" s="38"/>
      <c r="H303" s="38"/>
      <c r="I303" s="37"/>
      <c r="J303" s="38"/>
      <c r="K303" s="38"/>
      <c r="L303" s="38"/>
      <c r="M303" s="38"/>
      <c r="N303" s="39"/>
      <c r="O303" s="39"/>
      <c r="P303" s="38"/>
      <c r="Q303" s="38"/>
      <c r="R303" s="38"/>
      <c r="S303" s="39"/>
      <c r="T303" s="39"/>
      <c r="U303" s="38"/>
      <c r="V303" s="38"/>
      <c r="W303" s="37"/>
      <c r="X303" s="38"/>
      <c r="Y303" s="38"/>
      <c r="Z303" s="37"/>
      <c r="AA303" s="38"/>
      <c r="AB303" s="38"/>
      <c r="AC303" s="40"/>
      <c r="AD303" s="41"/>
      <c r="AE303" s="42" t="str">
        <f aca="false">IF(OR(A303="",NOT(ISNUMBER(AC303)),NOT(ISNUMBER(AD303))),"",IF(AD303&gt;0,AC303/AD303,""))</f>
        <v/>
      </c>
      <c r="AF303" s="42" t="str">
        <f aca="false">IF(OR(A303="",AB303=""),"",IFERROR(INDEX(Arbeitszeitmodelle!$C$5:$C$34,MATCH(AB303,Arbeitszeitmodelle!$A$5:$A$34,0)),""))</f>
        <v/>
      </c>
      <c r="AG303" s="38"/>
      <c r="AH303" s="38"/>
      <c r="AI303" s="38"/>
      <c r="AJ303" s="41"/>
      <c r="AK303" s="41"/>
      <c r="AL303" s="38"/>
      <c r="AM303" s="41"/>
      <c r="AN303" s="38"/>
      <c r="AO303" s="38"/>
      <c r="AP303" s="38"/>
      <c r="AQ303" s="38"/>
      <c r="AR303" s="41"/>
      <c r="AS303" s="40"/>
      <c r="AT303" s="39"/>
      <c r="AU303" s="41"/>
      <c r="AV303" s="43" t="str">
        <f aca="false">IF(OR(A303="",NOT(ISNUMBER(AD303))),"",P_MinUrlaubWerktage/6*AD303)</f>
        <v/>
      </c>
      <c r="AW303" s="43" t="str">
        <f aca="false">IF(A303="","",IF(M303="Ja",P_ZusatzSB*IF(ISNUMBER(AD303),AD303,5)/5,0))</f>
        <v/>
      </c>
      <c r="AX303" s="41"/>
      <c r="AY303" s="39"/>
      <c r="AZ303" s="43" t="str">
        <f aca="false">IF(OR(A303="",NOT(ISNUMBER(AU303))),"",SUM(AU303,AW303,AX303))</f>
        <v/>
      </c>
      <c r="BA303" s="38"/>
      <c r="BB303" s="44"/>
      <c r="BC303" s="44"/>
      <c r="BD303" s="45" t="str">
        <f aca="false">IF(A303="","",IF(BA303="Stundenlohn",IF(ISNUMBER(BC303),BC303,""),IF(AND(ISNUMBER(BB303),ISNUMBER(AC303)),IF(AC303&gt;0,BB303*12/(AC303*52),""),"")))</f>
        <v/>
      </c>
      <c r="BE303" s="46" t="str">
        <f aca="false">IF(OR(A303="",NOT(ISNUMBER(F303))),"",IFERROR(DATEDIF(F303,P_Stichtag,"Y"),""))</f>
        <v/>
      </c>
      <c r="BF303" s="47" t="str">
        <f aca="false">IF(OR(A303="",NOT(ISNUMBER(BE303))),"",IF(BE303&lt;18,"Ja","Nein"))</f>
        <v/>
      </c>
      <c r="BG303" s="48" t="str">
        <f aca="false">IF(A303="","",IF((IF(OR(B303="",C303="",F303="",N303="",Q303="",AB303="",AC303="",AD303="",AU303=""),"Pflichtfelder fehlen; ","")&amp;IF(AND(ISNUMBER(AC303),AC303&gt;P_MaxWoche),"Wochenstunden &gt; Prüfgrenze; ","")&amp;IF(AND(BF303="Ja",ISNUMBER(AC303),AC303&gt;P_MaxWocheJugend),"Jugendlicher &gt; 40 h/Woche; ","")&amp;IF(AND(ISNUMBER(BD303),BD303&lt;P_Mindestlohn,Q303&lt;&gt;"Auszubildende/r",Q303&lt;&gt;"Praktikant/in"),"Mindestlohn unterschritten?; ","")&amp;IF(AND(Q303="Minijob (geringfügig)",ISNUMBER(BB303),BB303&gt;P_Minijob),"Minijob-Grenze überschritten; ","")&amp;IF(AND(R303="Ja",S303=""),"Befristung ohne Enddatum; ","")&amp;IF(AND(ISNUMBER(O303),ISNUMBER(N303),O303&lt;N303),"Austritt vor Eintritt; ","")&amp;IF(AND(ISNUMBER(AU303),ISNUMBER(AV303),AU303&lt;AV303),"Urlaub unter gesetzl. Minimum; ","")&amp;IF(AND(ISNUMBER(AC303),ISNUMBER(AF303),ABS(N(AC303)-N(AF303))&gt;0.01),"Wochenstd. weichen vom Modell ab; ","")&amp;IF(AND(AI303="Ja",OR(AJ303="",AK303="")),"Kontogrenzen fehlen; ","")&amp;IF(AND(AL303="Mit Gehalt abgegolten (Pauschale)",AM303=""),"Überstunden-Pauschale fehlt; ",""))="","OK",IF(OR(B303="",C303="",F303="",N303="",Q303="",AB303="",AC303="",AD303="",AU303=""),"Pflichtfelder fehlen; ","")&amp;IF(AND(ISNUMBER(AC303),AC303&gt;P_MaxWoche),"Wochenstunden &gt; Prüfgrenze; ","")&amp;IF(AND(BF303="Ja",ISNUMBER(AC303),AC303&gt;P_MaxWocheJugend),"Jugendlicher &gt; 40 h/Woche; ","")&amp;IF(AND(ISNUMBER(BD303),BD303&lt;P_Mindestlohn,Q303&lt;&gt;"Auszubildende/r",Q303&lt;&gt;"Praktikant/in"),"Mindestlohn unterschritten?; ","")&amp;IF(AND(Q303="Minijob (geringfügig)",ISNUMBER(BB303),BB303&gt;P_Minijob),"Minijob-Grenze überschritten; ","")&amp;IF(AND(R303="Ja",S303=""),"Befristung ohne Enddatum; ","")&amp;IF(AND(ISNUMBER(O303),ISNUMBER(N303),O303&lt;N303),"Austritt vor Eintritt; ","")&amp;IF(AND(ISNUMBER(AU303),ISNUMBER(AV303),AU303&lt;AV303),"Urlaub unter gesetzl. Minimum; ","")&amp;IF(AND(ISNUMBER(AC303),ISNUMBER(AF303),ABS(N(AC303)-N(AF303))&gt;0.01),"Wochenstd. weichen vom Modell ab; ","")&amp;IF(AND(AI303="Ja",OR(AJ303="",AK303="")),"Kontogrenzen fehlen; ","")&amp;IF(AND(AL303="Mit Gehalt abgegolten (Pauschale)",AM303=""),"Überstunden-Pauschale fehlt; ","")))</f>
        <v/>
      </c>
      <c r="BH303" s="38"/>
    </row>
    <row r="304" customFormat="false" ht="15" hidden="false" customHeight="false" outlineLevel="0" collapsed="false">
      <c r="A304" s="37"/>
      <c r="B304" s="38"/>
      <c r="C304" s="38"/>
      <c r="D304" s="38"/>
      <c r="E304" s="38"/>
      <c r="F304" s="39"/>
      <c r="G304" s="38"/>
      <c r="H304" s="38"/>
      <c r="I304" s="37"/>
      <c r="J304" s="38"/>
      <c r="K304" s="38"/>
      <c r="L304" s="38"/>
      <c r="M304" s="38"/>
      <c r="N304" s="39"/>
      <c r="O304" s="39"/>
      <c r="P304" s="38"/>
      <c r="Q304" s="38"/>
      <c r="R304" s="38"/>
      <c r="S304" s="39"/>
      <c r="T304" s="39"/>
      <c r="U304" s="38"/>
      <c r="V304" s="38"/>
      <c r="W304" s="37"/>
      <c r="X304" s="38"/>
      <c r="Y304" s="38"/>
      <c r="Z304" s="37"/>
      <c r="AA304" s="38"/>
      <c r="AB304" s="38"/>
      <c r="AC304" s="40"/>
      <c r="AD304" s="41"/>
      <c r="AE304" s="42" t="str">
        <f aca="false">IF(OR(A304="",NOT(ISNUMBER(AC304)),NOT(ISNUMBER(AD304))),"",IF(AD304&gt;0,AC304/AD304,""))</f>
        <v/>
      </c>
      <c r="AF304" s="42" t="str">
        <f aca="false">IF(OR(A304="",AB304=""),"",IFERROR(INDEX(Arbeitszeitmodelle!$C$5:$C$34,MATCH(AB304,Arbeitszeitmodelle!$A$5:$A$34,0)),""))</f>
        <v/>
      </c>
      <c r="AG304" s="38"/>
      <c r="AH304" s="38"/>
      <c r="AI304" s="38"/>
      <c r="AJ304" s="41"/>
      <c r="AK304" s="41"/>
      <c r="AL304" s="38"/>
      <c r="AM304" s="41"/>
      <c r="AN304" s="38"/>
      <c r="AO304" s="38"/>
      <c r="AP304" s="38"/>
      <c r="AQ304" s="38"/>
      <c r="AR304" s="41"/>
      <c r="AS304" s="40"/>
      <c r="AT304" s="39"/>
      <c r="AU304" s="41"/>
      <c r="AV304" s="43" t="str">
        <f aca="false">IF(OR(A304="",NOT(ISNUMBER(AD304))),"",P_MinUrlaubWerktage/6*AD304)</f>
        <v/>
      </c>
      <c r="AW304" s="43" t="str">
        <f aca="false">IF(A304="","",IF(M304="Ja",P_ZusatzSB*IF(ISNUMBER(AD304),AD304,5)/5,0))</f>
        <v/>
      </c>
      <c r="AX304" s="41"/>
      <c r="AY304" s="39"/>
      <c r="AZ304" s="43" t="str">
        <f aca="false">IF(OR(A304="",NOT(ISNUMBER(AU304))),"",SUM(AU304,AW304,AX304))</f>
        <v/>
      </c>
      <c r="BA304" s="38"/>
      <c r="BB304" s="44"/>
      <c r="BC304" s="44"/>
      <c r="BD304" s="45" t="str">
        <f aca="false">IF(A304="","",IF(BA304="Stundenlohn",IF(ISNUMBER(BC304),BC304,""),IF(AND(ISNUMBER(BB304),ISNUMBER(AC304)),IF(AC304&gt;0,BB304*12/(AC304*52),""),"")))</f>
        <v/>
      </c>
      <c r="BE304" s="46" t="str">
        <f aca="false">IF(OR(A304="",NOT(ISNUMBER(F304))),"",IFERROR(DATEDIF(F304,P_Stichtag,"Y"),""))</f>
        <v/>
      </c>
      <c r="BF304" s="47" t="str">
        <f aca="false">IF(OR(A304="",NOT(ISNUMBER(BE304))),"",IF(BE304&lt;18,"Ja","Nein"))</f>
        <v/>
      </c>
      <c r="BG304" s="48" t="str">
        <f aca="false">IF(A304="","",IF((IF(OR(B304="",C304="",F304="",N304="",Q304="",AB304="",AC304="",AD304="",AU304=""),"Pflichtfelder fehlen; ","")&amp;IF(AND(ISNUMBER(AC304),AC304&gt;P_MaxWoche),"Wochenstunden &gt; Prüfgrenze; ","")&amp;IF(AND(BF304="Ja",ISNUMBER(AC304),AC304&gt;P_MaxWocheJugend),"Jugendlicher &gt; 40 h/Woche; ","")&amp;IF(AND(ISNUMBER(BD304),BD304&lt;P_Mindestlohn,Q304&lt;&gt;"Auszubildende/r",Q304&lt;&gt;"Praktikant/in"),"Mindestlohn unterschritten?; ","")&amp;IF(AND(Q304="Minijob (geringfügig)",ISNUMBER(BB304),BB304&gt;P_Minijob),"Minijob-Grenze überschritten; ","")&amp;IF(AND(R304="Ja",S304=""),"Befristung ohne Enddatum; ","")&amp;IF(AND(ISNUMBER(O304),ISNUMBER(N304),O304&lt;N304),"Austritt vor Eintritt; ","")&amp;IF(AND(ISNUMBER(AU304),ISNUMBER(AV304),AU304&lt;AV304),"Urlaub unter gesetzl. Minimum; ","")&amp;IF(AND(ISNUMBER(AC304),ISNUMBER(AF304),ABS(N(AC304)-N(AF304))&gt;0.01),"Wochenstd. weichen vom Modell ab; ","")&amp;IF(AND(AI304="Ja",OR(AJ304="",AK304="")),"Kontogrenzen fehlen; ","")&amp;IF(AND(AL304="Mit Gehalt abgegolten (Pauschale)",AM304=""),"Überstunden-Pauschale fehlt; ",""))="","OK",IF(OR(B304="",C304="",F304="",N304="",Q304="",AB304="",AC304="",AD304="",AU304=""),"Pflichtfelder fehlen; ","")&amp;IF(AND(ISNUMBER(AC304),AC304&gt;P_MaxWoche),"Wochenstunden &gt; Prüfgrenze; ","")&amp;IF(AND(BF304="Ja",ISNUMBER(AC304),AC304&gt;P_MaxWocheJugend),"Jugendlicher &gt; 40 h/Woche; ","")&amp;IF(AND(ISNUMBER(BD304),BD304&lt;P_Mindestlohn,Q304&lt;&gt;"Auszubildende/r",Q304&lt;&gt;"Praktikant/in"),"Mindestlohn unterschritten?; ","")&amp;IF(AND(Q304="Minijob (geringfügig)",ISNUMBER(BB304),BB304&gt;P_Minijob),"Minijob-Grenze überschritten; ","")&amp;IF(AND(R304="Ja",S304=""),"Befristung ohne Enddatum; ","")&amp;IF(AND(ISNUMBER(O304),ISNUMBER(N304),O304&lt;N304),"Austritt vor Eintritt; ","")&amp;IF(AND(ISNUMBER(AU304),ISNUMBER(AV304),AU304&lt;AV304),"Urlaub unter gesetzl. Minimum; ","")&amp;IF(AND(ISNUMBER(AC304),ISNUMBER(AF304),ABS(N(AC304)-N(AF304))&gt;0.01),"Wochenstd. weichen vom Modell ab; ","")&amp;IF(AND(AI304="Ja",OR(AJ304="",AK304="")),"Kontogrenzen fehlen; ","")&amp;IF(AND(AL304="Mit Gehalt abgegolten (Pauschale)",AM304=""),"Überstunden-Pauschale fehlt; ","")))</f>
        <v/>
      </c>
      <c r="BH304" s="38"/>
    </row>
  </sheetData>
  <autoFilter ref="A4:BH304"/>
  <mergeCells count="6">
    <mergeCell ref="A3:M3"/>
    <mergeCell ref="N3:AA3"/>
    <mergeCell ref="AB3:AT3"/>
    <mergeCell ref="AU3:AZ3"/>
    <mergeCell ref="BA3:BD3"/>
    <mergeCell ref="BE3:BH3"/>
  </mergeCells>
  <conditionalFormatting sqref="BG5:BG304">
    <cfRule type="expression" priority="2" aboveAverage="0" equalAverage="0" bottom="0" percent="0" rank="0" text="" dxfId="13">
      <formula>AND(BG5&lt;&gt;"",BG5&lt;&gt;"OK")</formula>
    </cfRule>
    <cfRule type="expression" priority="3" aboveAverage="0" equalAverage="0" bottom="0" percent="0" rank="0" text="" dxfId="14">
      <formula>BG5="OK"</formula>
    </cfRule>
  </conditionalFormatting>
  <conditionalFormatting sqref="A5:A304">
    <cfRule type="expression" priority="4" aboveAverage="0" equalAverage="0" bottom="0" percent="0" rank="0" text="" dxfId="15">
      <formula>AND($A5&lt;&gt;"",A5="")</formula>
    </cfRule>
  </conditionalFormatting>
  <conditionalFormatting sqref="B5:B304">
    <cfRule type="expression" priority="5" aboveAverage="0" equalAverage="0" bottom="0" percent="0" rank="0" text="" dxfId="15">
      <formula>AND($A5&lt;&gt;"",B5="")</formula>
    </cfRule>
  </conditionalFormatting>
  <conditionalFormatting sqref="C5:C304">
    <cfRule type="expression" priority="6" aboveAverage="0" equalAverage="0" bottom="0" percent="0" rank="0" text="" dxfId="15">
      <formula>AND($A5&lt;&gt;"",C5="")</formula>
    </cfRule>
  </conditionalFormatting>
  <conditionalFormatting sqref="F5:F304">
    <cfRule type="expression" priority="7" aboveAverage="0" equalAverage="0" bottom="0" percent="0" rank="0" text="" dxfId="15">
      <formula>AND($A5&lt;&gt;"",F5="")</formula>
    </cfRule>
  </conditionalFormatting>
  <conditionalFormatting sqref="M5:M304">
    <cfRule type="expression" priority="8" aboveAverage="0" equalAverage="0" bottom="0" percent="0" rank="0" text="" dxfId="15">
      <formula>AND($A5&lt;&gt;"",M5="")</formula>
    </cfRule>
  </conditionalFormatting>
  <conditionalFormatting sqref="N5:N304">
    <cfRule type="expression" priority="9" aboveAverage="0" equalAverage="0" bottom="0" percent="0" rank="0" text="" dxfId="15">
      <formula>AND($A5&lt;&gt;"",N5="")</formula>
    </cfRule>
  </conditionalFormatting>
  <conditionalFormatting sqref="P5:P304">
    <cfRule type="expression" priority="10" aboveAverage="0" equalAverage="0" bottom="0" percent="0" rank="0" text="" dxfId="15">
      <formula>AND($A5&lt;&gt;"",P5="")</formula>
    </cfRule>
  </conditionalFormatting>
  <conditionalFormatting sqref="Q5:Q304">
    <cfRule type="expression" priority="11" aboveAverage="0" equalAverage="0" bottom="0" percent="0" rank="0" text="" dxfId="15">
      <formula>AND($A5&lt;&gt;"",Q5="")</formula>
    </cfRule>
  </conditionalFormatting>
  <conditionalFormatting sqref="R5:R304">
    <cfRule type="expression" priority="12" aboveAverage="0" equalAverage="0" bottom="0" percent="0" rank="0" text="" dxfId="15">
      <formula>AND($A5&lt;&gt;"",R5="")</formula>
    </cfRule>
  </conditionalFormatting>
  <conditionalFormatting sqref="V5:V304">
    <cfRule type="expression" priority="13" aboveAverage="0" equalAverage="0" bottom="0" percent="0" rank="0" text="" dxfId="15">
      <formula>AND($A5&lt;&gt;"",V5="")</formula>
    </cfRule>
  </conditionalFormatting>
  <conditionalFormatting sqref="X5:X304">
    <cfRule type="expression" priority="14" aboveAverage="0" equalAverage="0" bottom="0" percent="0" rank="0" text="" dxfId="15">
      <formula>AND($A5&lt;&gt;"",X5="")</formula>
    </cfRule>
  </conditionalFormatting>
  <conditionalFormatting sqref="Y5:Y304">
    <cfRule type="expression" priority="15" aboveAverage="0" equalAverage="0" bottom="0" percent="0" rank="0" text="" dxfId="15">
      <formula>AND($A5&lt;&gt;"",Y5="")</formula>
    </cfRule>
  </conditionalFormatting>
  <conditionalFormatting sqref="AB5:AB304">
    <cfRule type="expression" priority="16" aboveAverage="0" equalAverage="0" bottom="0" percent="0" rank="0" text="" dxfId="15">
      <formula>AND($A5&lt;&gt;"",AB5="")</formula>
    </cfRule>
  </conditionalFormatting>
  <conditionalFormatting sqref="AC5:AC304">
    <cfRule type="expression" priority="17" aboveAverage="0" equalAverage="0" bottom="0" percent="0" rank="0" text="" dxfId="15">
      <formula>AND($A5&lt;&gt;"",AC5="")</formula>
    </cfRule>
  </conditionalFormatting>
  <conditionalFormatting sqref="AD5:AD304">
    <cfRule type="expression" priority="18" aboveAverage="0" equalAverage="0" bottom="0" percent="0" rank="0" text="" dxfId="15">
      <formula>AND($A5&lt;&gt;"",AD5="")</formula>
    </cfRule>
  </conditionalFormatting>
  <conditionalFormatting sqref="AG5:AG304">
    <cfRule type="expression" priority="19" aboveAverage="0" equalAverage="0" bottom="0" percent="0" rank="0" text="" dxfId="15">
      <formula>AND($A5&lt;&gt;"",AG5="")</formula>
    </cfRule>
  </conditionalFormatting>
  <conditionalFormatting sqref="AH5:AH304">
    <cfRule type="expression" priority="20" aboveAverage="0" equalAverage="0" bottom="0" percent="0" rank="0" text="" dxfId="15">
      <formula>AND($A5&lt;&gt;"",AH5="")</formula>
    </cfRule>
  </conditionalFormatting>
  <conditionalFormatting sqref="AI5:AI304">
    <cfRule type="expression" priority="21" aboveAverage="0" equalAverage="0" bottom="0" percent="0" rank="0" text="" dxfId="15">
      <formula>AND($A5&lt;&gt;"",AI5="")</formula>
    </cfRule>
  </conditionalFormatting>
  <conditionalFormatting sqref="AL5:AL304">
    <cfRule type="expression" priority="22" aboveAverage="0" equalAverage="0" bottom="0" percent="0" rank="0" text="" dxfId="15">
      <formula>AND($A5&lt;&gt;"",AL5="")</formula>
    </cfRule>
  </conditionalFormatting>
  <conditionalFormatting sqref="AN5:AN304">
    <cfRule type="expression" priority="23" aboveAverage="0" equalAverage="0" bottom="0" percent="0" rank="0" text="" dxfId="15">
      <formula>AND($A5&lt;&gt;"",AN5="")</formula>
    </cfRule>
  </conditionalFormatting>
  <conditionalFormatting sqref="AO5:AO304">
    <cfRule type="expression" priority="24" aboveAverage="0" equalAverage="0" bottom="0" percent="0" rank="0" text="" dxfId="15">
      <formula>AND($A5&lt;&gt;"",AO5="")</formula>
    </cfRule>
  </conditionalFormatting>
  <conditionalFormatting sqref="AP5:AP304">
    <cfRule type="expression" priority="25" aboveAverage="0" equalAverage="0" bottom="0" percent="0" rank="0" text="" dxfId="15">
      <formula>AND($A5&lt;&gt;"",AP5="")</formula>
    </cfRule>
  </conditionalFormatting>
  <conditionalFormatting sqref="AQ5:AQ304">
    <cfRule type="expression" priority="26" aboveAverage="0" equalAverage="0" bottom="0" percent="0" rank="0" text="" dxfId="15">
      <formula>AND($A5&lt;&gt;"",AQ5="")</formula>
    </cfRule>
  </conditionalFormatting>
  <conditionalFormatting sqref="AU5:AU304">
    <cfRule type="expression" priority="27" aboveAverage="0" equalAverage="0" bottom="0" percent="0" rank="0" text="" dxfId="15">
      <formula>AND($A5&lt;&gt;"",AU5="")</formula>
    </cfRule>
  </conditionalFormatting>
  <conditionalFormatting sqref="BA5:BA304">
    <cfRule type="expression" priority="28" aboveAverage="0" equalAverage="0" bottom="0" percent="0" rank="0" text="" dxfId="15">
      <formula>AND($A5&lt;&gt;"",BA5="")</formula>
    </cfRule>
  </conditionalFormatting>
  <dataValidations count="28"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D5:D304" type="list">
      <formula1>Listen!$A$2:$A$5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G5:G304" type="list">
      <formula1>Listen!$B$2:$B$5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M5:M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P5:P304" type="list">
      <formula1>Listen!$D$2:$D$4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Q5:Q304" type="list">
      <formula1>Listen!$E$2:$E$10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R5:R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V5:V304" type="list">
      <formula1>Listen!$F$2:$F$33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X5:X304" type="list">
      <formula1>Listen!$G$2:$G$28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Y5:Y304" type="list">
      <formula1>Listen!$H$2:$H$17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B5:AB304" type="list">
      <formula1>Arbeitszeitmodelle!$A$5:$A$34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G5:AG304" type="list">
      <formula1>Listen!$I$2:$I$5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H5:AH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I5:AI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L5:AL304" type="list">
      <formula1>Listen!$J$2:$J$5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N5:AN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O5:AO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P5:AP304" type="list">
      <formula1>Listen!$C$2:$C$3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AQ5:AQ304" type="list">
      <formula1>Listen!$K$2:$K$4</formula1>
      <formula2>0</formula2>
    </dataValidation>
    <dataValidation allowBlank="true" error="Bitte einen Wert aus der Liste wählen (Pflege im Blatt „Listen“ bzw. „Arbeitszeitmodelle“)." errorStyle="stop" errorTitle="Ungültiger Wert" operator="between" showDropDown="false" showErrorMessage="true" showInputMessage="false" sqref="BA5:BA304" type="list">
      <formula1>Listen!$L$2:$L$3</formula1>
      <formula2>0</formula2>
    </dataValidation>
    <dataValidation allowBlank="true" error="Bitte ein gültiges Datum eingeben (TT.MM.JJJJ)." errorStyle="stop" errorTitle="Ungültiges Datum" operator="between" showDropDown="false" showErrorMessage="true" showInputMessage="false" sqref="F5:F304 N5:O304 S5:T304 AT5:AT304 AY5:AY304" type="date">
      <formula1>DATE(1930,1,1)</formula1>
      <formula2>DATE(2100,12,31)</formula2>
    </dataValidation>
    <dataValidation allowBlank="true" error="Wochenstunden zwischen 0 und 60 erwartet (Dezimal, z. B. 38,5)." errorStyle="warning" errorTitle="Prüfen" operator="between" showDropDown="false" showErrorMessage="true" showInputMessage="false" sqref="AC5:AC304" type="decimal">
      <formula1>0</formula1>
      <formula2>60</formula2>
    </dataValidation>
    <dataValidation allowBlank="true" error="Arbeitstage pro Woche zwischen 1 und 7." errorStyle="stop" errorTitle="Prüfen" operator="between" showDropDown="false" showErrorMessage="true" showInputMessage="false" sqref="AD5:AD304" type="decimal">
      <formula1>1</formula1>
      <formula2>7</formula2>
    </dataValidation>
    <dataValidation allowBlank="true" error="Tage pro Woche zwischen 0 und 7." errorStyle="stop" errorTitle="Prüfen" operator="between" showDropDown="false" showErrorMessage="true" showInputMessage="false" sqref="AR5:AR304" type="decimal">
      <formula1>0</formula1>
      <formula2>7</formula2>
    </dataValidation>
    <dataValidation allowBlank="true" error="Positive Zahl in Stunden erwartet." errorStyle="stop" errorTitle="Prüfen" operator="between" showDropDown="false" showErrorMessage="true" showInputMessage="false" sqref="AJ5:AK304 AM5:AM304" type="decimal">
      <formula1>0</formula1>
      <formula2>1000</formula2>
    </dataValidation>
    <dataValidation allowBlank="true" error="Saldo in Stunden (negativ = Minus)." errorStyle="stop" errorTitle="Prüfen" operator="between" showDropDown="false" showErrorMessage="true" showInputMessage="false" sqref="AS5:AS304" type="decimal">
      <formula1>-1000</formula1>
      <formula2>1000</formula2>
    </dataValidation>
    <dataValidation allowBlank="true" error="Urlaubstage zwischen 0 und 60." errorStyle="stop" errorTitle="Prüfen" operator="between" showDropDown="false" showErrorMessage="true" showInputMessage="false" sqref="AU5:AU304 AX5:AX304" type="decimal">
      <formula1>0</formula1>
      <formula2>60</formula2>
    </dataValidation>
    <dataValidation allowBlank="true" error="Betrag in Euro, ohne Währungszeichen." errorStyle="warning" errorTitle="Prüfen" operator="between" showDropDown="false" showErrorMessage="true" showInputMessage="false" sqref="BB5:BB304" type="decimal">
      <formula1>0</formula1>
      <formula2>100000</formula2>
    </dataValidation>
    <dataValidation allowBlank="true" error="Stundenlohn in Euro." errorStyle="warning" errorTitle="Prüfen" operator="between" showDropDown="false" showErrorMessage="true" showInputMessage="false" sqref="BC5:BC304" type="decimal">
      <formula1>0</formula1>
      <formula2>500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11" min="5" style="0" width="7"/>
    <col collapsed="false" customWidth="true" hidden="false" outlineLevel="0" max="15" min="12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12" t="s">
        <v>141</v>
      </c>
    </row>
    <row r="2" customFormat="false" ht="30" hidden="false" customHeight="true" outlineLevel="0" collapsed="false">
      <c r="A2" s="49" t="s">
        <v>142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4" customFormat="false" ht="42" hidden="false" customHeight="true" outlineLevel="0" collapsed="false">
      <c r="A4" s="50" t="s">
        <v>143</v>
      </c>
      <c r="B4" s="50" t="s">
        <v>144</v>
      </c>
      <c r="C4" s="51" t="s">
        <v>145</v>
      </c>
      <c r="D4" s="51" t="s">
        <v>146</v>
      </c>
      <c r="E4" s="50" t="s">
        <v>147</v>
      </c>
      <c r="F4" s="50" t="s">
        <v>148</v>
      </c>
      <c r="G4" s="50" t="s">
        <v>149</v>
      </c>
      <c r="H4" s="50" t="s">
        <v>150</v>
      </c>
      <c r="I4" s="50" t="s">
        <v>151</v>
      </c>
      <c r="J4" s="50" t="s">
        <v>152</v>
      </c>
      <c r="K4" s="50" t="s">
        <v>153</v>
      </c>
      <c r="L4" s="50" t="s">
        <v>154</v>
      </c>
      <c r="M4" s="50" t="s">
        <v>155</v>
      </c>
      <c r="N4" s="50" t="s">
        <v>156</v>
      </c>
      <c r="O4" s="50" t="s">
        <v>157</v>
      </c>
      <c r="P4" s="50" t="s">
        <v>89</v>
      </c>
      <c r="Q4" s="50" t="s">
        <v>158</v>
      </c>
      <c r="R4" s="50" t="s">
        <v>115</v>
      </c>
    </row>
    <row r="5" customFormat="false" ht="15" hidden="false" customHeight="false" outlineLevel="0" collapsed="false">
      <c r="A5" s="38" t="s">
        <v>135</v>
      </c>
      <c r="B5" s="38" t="s">
        <v>159</v>
      </c>
      <c r="C5" s="42" t="n">
        <f aca="false">IF(A5="","",SUM(E5:K5))</f>
        <v>40</v>
      </c>
      <c r="D5" s="46" t="n">
        <f aca="false">IF(A5="","",COUNTIF(E5:K5,"&gt;0"))</f>
        <v>5</v>
      </c>
      <c r="E5" s="40" t="n">
        <v>8</v>
      </c>
      <c r="F5" s="40" t="n">
        <v>8</v>
      </c>
      <c r="G5" s="40" t="n">
        <v>8</v>
      </c>
      <c r="H5" s="40" t="n">
        <v>8</v>
      </c>
      <c r="I5" s="40" t="n">
        <v>8</v>
      </c>
      <c r="J5" s="40" t="n">
        <v>0</v>
      </c>
      <c r="K5" s="40" t="n">
        <v>0</v>
      </c>
      <c r="L5" s="52" t="n">
        <v>0.291666666666667</v>
      </c>
      <c r="M5" s="52" t="n">
        <v>0.791666666666667</v>
      </c>
      <c r="N5" s="52" t="n">
        <v>0.395833333333333</v>
      </c>
      <c r="O5" s="52" t="n">
        <v>0.625</v>
      </c>
      <c r="P5" s="38" t="s">
        <v>137</v>
      </c>
      <c r="Q5" s="38" t="n">
        <v>30</v>
      </c>
      <c r="R5" s="38" t="s">
        <v>160</v>
      </c>
    </row>
    <row r="6" customFormat="false" ht="15" hidden="false" customHeight="false" outlineLevel="0" collapsed="false">
      <c r="A6" s="38" t="s">
        <v>161</v>
      </c>
      <c r="B6" s="38" t="s">
        <v>162</v>
      </c>
      <c r="C6" s="42" t="n">
        <f aca="false">IF(A6="","",SUM(E6:K6))</f>
        <v>38.5</v>
      </c>
      <c r="D6" s="46" t="n">
        <f aca="false">IF(A6="","",COUNTIF(E6:K6,"&gt;0"))</f>
        <v>5</v>
      </c>
      <c r="E6" s="40" t="n">
        <v>7.7</v>
      </c>
      <c r="F6" s="40" t="n">
        <v>7.7</v>
      </c>
      <c r="G6" s="40" t="n">
        <v>7.7</v>
      </c>
      <c r="H6" s="40" t="n">
        <v>7.7</v>
      </c>
      <c r="I6" s="40" t="n">
        <v>7.7</v>
      </c>
      <c r="J6" s="40" t="n">
        <v>0</v>
      </c>
      <c r="K6" s="40" t="n">
        <v>0</v>
      </c>
      <c r="L6" s="52" t="n">
        <v>0.291666666666667</v>
      </c>
      <c r="M6" s="52" t="n">
        <v>0.791666666666667</v>
      </c>
      <c r="N6" s="52" t="n">
        <v>0.395833333333333</v>
      </c>
      <c r="O6" s="52" t="n">
        <v>0.625</v>
      </c>
      <c r="P6" s="38" t="s">
        <v>137</v>
      </c>
      <c r="Q6" s="38" t="n">
        <v>30</v>
      </c>
      <c r="R6" s="38" t="s">
        <v>163</v>
      </c>
    </row>
    <row r="7" customFormat="false" ht="15" hidden="false" customHeight="false" outlineLevel="0" collapsed="false">
      <c r="A7" s="38" t="s">
        <v>164</v>
      </c>
      <c r="B7" s="38" t="s">
        <v>165</v>
      </c>
      <c r="C7" s="42" t="n">
        <f aca="false">IF(A7="","",SUM(E7:K7))</f>
        <v>30</v>
      </c>
      <c r="D7" s="46" t="n">
        <f aca="false">IF(A7="","",COUNTIF(E7:K7,"&gt;0"))</f>
        <v>5</v>
      </c>
      <c r="E7" s="40" t="n">
        <v>6</v>
      </c>
      <c r="F7" s="40" t="n">
        <v>6</v>
      </c>
      <c r="G7" s="40" t="n">
        <v>6</v>
      </c>
      <c r="H7" s="40" t="n">
        <v>6</v>
      </c>
      <c r="I7" s="40" t="n">
        <v>6</v>
      </c>
      <c r="J7" s="40" t="n">
        <v>0</v>
      </c>
      <c r="K7" s="40" t="n">
        <v>0</v>
      </c>
      <c r="L7" s="52" t="n">
        <v>0.291666666666667</v>
      </c>
      <c r="M7" s="52" t="n">
        <v>0.791666666666667</v>
      </c>
      <c r="N7" s="52" t="n">
        <v>0.395833333333333</v>
      </c>
      <c r="O7" s="52" t="n">
        <v>0.583333333333333</v>
      </c>
      <c r="P7" s="38" t="s">
        <v>137</v>
      </c>
      <c r="Q7" s="38" t="n">
        <v>30</v>
      </c>
      <c r="R7" s="38" t="s">
        <v>160</v>
      </c>
    </row>
    <row r="8" customFormat="false" ht="15" hidden="false" customHeight="false" outlineLevel="0" collapsed="false">
      <c r="A8" s="38" t="s">
        <v>166</v>
      </c>
      <c r="B8" s="38" t="s">
        <v>167</v>
      </c>
      <c r="C8" s="42" t="n">
        <f aca="false">IF(A8="","",SUM(E8:K8))</f>
        <v>20</v>
      </c>
      <c r="D8" s="46" t="n">
        <f aca="false">IF(A8="","",COUNTIF(E8:K8,"&gt;0"))</f>
        <v>5</v>
      </c>
      <c r="E8" s="40" t="n">
        <v>4</v>
      </c>
      <c r="F8" s="40" t="n">
        <v>4</v>
      </c>
      <c r="G8" s="40" t="n">
        <v>4</v>
      </c>
      <c r="H8" s="40" t="n">
        <v>4</v>
      </c>
      <c r="I8" s="40" t="n">
        <v>4</v>
      </c>
      <c r="J8" s="40" t="n">
        <v>0</v>
      </c>
      <c r="K8" s="40" t="n">
        <v>0</v>
      </c>
      <c r="L8" s="52" t="n">
        <v>0.291666666666667</v>
      </c>
      <c r="M8" s="52" t="n">
        <v>0.583333333333333</v>
      </c>
      <c r="N8" s="52" t="n">
        <v>0.354166666666667</v>
      </c>
      <c r="O8" s="52" t="n">
        <v>0.5</v>
      </c>
      <c r="P8" s="38" t="s">
        <v>125</v>
      </c>
      <c r="Q8" s="38" t="n">
        <v>0</v>
      </c>
      <c r="R8" s="38" t="s">
        <v>160</v>
      </c>
    </row>
    <row r="9" customFormat="false" ht="15" hidden="false" customHeight="false" outlineLevel="0" collapsed="false">
      <c r="A9" s="38" t="s">
        <v>168</v>
      </c>
      <c r="B9" s="38" t="s">
        <v>169</v>
      </c>
      <c r="C9" s="42" t="n">
        <f aca="false">IF(A9="","",SUM(E9:K9))</f>
        <v>24</v>
      </c>
      <c r="D9" s="46" t="n">
        <f aca="false">IF(A9="","",COUNTIF(E9:K9,"&gt;0"))</f>
        <v>3</v>
      </c>
      <c r="E9" s="40" t="n">
        <v>8</v>
      </c>
      <c r="F9" s="40" t="n">
        <v>0</v>
      </c>
      <c r="G9" s="40" t="n">
        <v>8</v>
      </c>
      <c r="H9" s="40" t="n">
        <v>0</v>
      </c>
      <c r="I9" s="40" t="n">
        <v>8</v>
      </c>
      <c r="J9" s="40" t="n">
        <v>0</v>
      </c>
      <c r="K9" s="40" t="n">
        <v>0</v>
      </c>
      <c r="L9" s="52" t="n">
        <v>0.291666666666667</v>
      </c>
      <c r="M9" s="52" t="n">
        <v>0.791666666666667</v>
      </c>
      <c r="N9" s="52"/>
      <c r="O9" s="52"/>
      <c r="P9" s="38" t="s">
        <v>137</v>
      </c>
      <c r="Q9" s="38" t="n">
        <v>30</v>
      </c>
      <c r="R9" s="38" t="s">
        <v>160</v>
      </c>
    </row>
    <row r="10" customFormat="false" ht="15" hidden="false" customHeight="false" outlineLevel="0" collapsed="false">
      <c r="A10" s="38" t="s">
        <v>170</v>
      </c>
      <c r="B10" s="38" t="s">
        <v>171</v>
      </c>
      <c r="C10" s="42" t="n">
        <f aca="false">IF(A10="","",SUM(E10:K10))</f>
        <v>10</v>
      </c>
      <c r="D10" s="46" t="n">
        <f aca="false">IF(A10="","",COUNTIF(E10:K10,"&gt;0"))</f>
        <v>5</v>
      </c>
      <c r="E10" s="40" t="n">
        <v>2</v>
      </c>
      <c r="F10" s="40" t="n">
        <v>2</v>
      </c>
      <c r="G10" s="40" t="n">
        <v>2</v>
      </c>
      <c r="H10" s="40" t="n">
        <v>2</v>
      </c>
      <c r="I10" s="40" t="n">
        <v>2</v>
      </c>
      <c r="J10" s="40" t="n">
        <v>0</v>
      </c>
      <c r="K10" s="40" t="n">
        <v>0</v>
      </c>
      <c r="L10" s="52"/>
      <c r="M10" s="52"/>
      <c r="N10" s="52"/>
      <c r="O10" s="52"/>
      <c r="P10" s="38" t="s">
        <v>125</v>
      </c>
      <c r="Q10" s="38" t="n">
        <v>0</v>
      </c>
      <c r="R10" s="38" t="s">
        <v>172</v>
      </c>
    </row>
    <row r="11" customFormat="false" ht="15" hidden="false" customHeight="false" outlineLevel="0" collapsed="false">
      <c r="A11" s="38" t="s">
        <v>173</v>
      </c>
      <c r="B11" s="38" t="s">
        <v>174</v>
      </c>
      <c r="C11" s="42" t="n">
        <f aca="false">IF(A11="","",SUM(E11:K11))</f>
        <v>20</v>
      </c>
      <c r="D11" s="46" t="n">
        <f aca="false">IF(A11="","",COUNTIF(E11:K11,"&gt;0"))</f>
        <v>5</v>
      </c>
      <c r="E11" s="40" t="n">
        <v>4</v>
      </c>
      <c r="F11" s="40" t="n">
        <v>4</v>
      </c>
      <c r="G11" s="40" t="n">
        <v>4</v>
      </c>
      <c r="H11" s="40" t="n">
        <v>4</v>
      </c>
      <c r="I11" s="40" t="n">
        <v>4</v>
      </c>
      <c r="J11" s="40" t="n">
        <v>0</v>
      </c>
      <c r="K11" s="40" t="n">
        <v>0</v>
      </c>
      <c r="L11" s="52"/>
      <c r="M11" s="52"/>
      <c r="N11" s="52"/>
      <c r="O11" s="52"/>
      <c r="P11" s="38" t="s">
        <v>125</v>
      </c>
      <c r="Q11" s="38" t="n">
        <v>0</v>
      </c>
      <c r="R11" s="38" t="s">
        <v>175</v>
      </c>
    </row>
    <row r="12" customFormat="false" ht="15" hidden="false" customHeight="false" outlineLevel="0" collapsed="false">
      <c r="A12" s="38" t="s">
        <v>176</v>
      </c>
      <c r="B12" s="38" t="s">
        <v>177</v>
      </c>
      <c r="C12" s="42" t="n">
        <f aca="false">IF(A12="","",SUM(E12:K12))</f>
        <v>40</v>
      </c>
      <c r="D12" s="46" t="n">
        <f aca="false">IF(A12="","",COUNTIF(E12:K12,"&gt;0"))</f>
        <v>5</v>
      </c>
      <c r="E12" s="40" t="n">
        <v>8</v>
      </c>
      <c r="F12" s="40" t="n">
        <v>8</v>
      </c>
      <c r="G12" s="40" t="n">
        <v>8</v>
      </c>
      <c r="H12" s="40" t="n">
        <v>8</v>
      </c>
      <c r="I12" s="40" t="n">
        <v>8</v>
      </c>
      <c r="J12" s="40" t="n">
        <v>0</v>
      </c>
      <c r="K12" s="40" t="n">
        <v>0</v>
      </c>
      <c r="L12" s="52"/>
      <c r="M12" s="52"/>
      <c r="N12" s="52"/>
      <c r="O12" s="52"/>
      <c r="P12" s="38" t="s">
        <v>125</v>
      </c>
      <c r="Q12" s="38" t="n">
        <v>30</v>
      </c>
      <c r="R12" s="38" t="s">
        <v>178</v>
      </c>
    </row>
    <row r="13" customFormat="false" ht="15" hidden="false" customHeight="false" outlineLevel="0" collapsed="false">
      <c r="A13" s="38"/>
      <c r="B13" s="38"/>
      <c r="C13" s="42" t="str">
        <f aca="false">IF(A13="","",SUM(E13:K13))</f>
        <v/>
      </c>
      <c r="D13" s="46" t="str">
        <f aca="false">IF(A13="","",COUNTIF(E13:K13,"&gt;0"))</f>
        <v/>
      </c>
      <c r="E13" s="40"/>
      <c r="F13" s="40"/>
      <c r="G13" s="40"/>
      <c r="H13" s="40"/>
      <c r="I13" s="40"/>
      <c r="J13" s="40"/>
      <c r="K13" s="40"/>
      <c r="L13" s="52"/>
      <c r="M13" s="52"/>
      <c r="N13" s="52"/>
      <c r="O13" s="52"/>
      <c r="P13" s="38"/>
      <c r="Q13" s="38"/>
      <c r="R13" s="38"/>
    </row>
    <row r="14" customFormat="false" ht="15" hidden="false" customHeight="false" outlineLevel="0" collapsed="false">
      <c r="A14" s="38"/>
      <c r="B14" s="38"/>
      <c r="C14" s="42" t="str">
        <f aca="false">IF(A14="","",SUM(E14:K14))</f>
        <v/>
      </c>
      <c r="D14" s="46" t="str">
        <f aca="false">IF(A14="","",COUNTIF(E14:K14,"&gt;0"))</f>
        <v/>
      </c>
      <c r="E14" s="40"/>
      <c r="F14" s="40"/>
      <c r="G14" s="40"/>
      <c r="H14" s="40"/>
      <c r="I14" s="40"/>
      <c r="J14" s="40"/>
      <c r="K14" s="40"/>
      <c r="L14" s="52"/>
      <c r="M14" s="52"/>
      <c r="N14" s="52"/>
      <c r="O14" s="52"/>
      <c r="P14" s="38"/>
      <c r="Q14" s="38"/>
      <c r="R14" s="38"/>
    </row>
    <row r="15" customFormat="false" ht="15" hidden="false" customHeight="false" outlineLevel="0" collapsed="false">
      <c r="A15" s="38"/>
      <c r="B15" s="38"/>
      <c r="C15" s="42" t="str">
        <f aca="false">IF(A15="","",SUM(E15:K15))</f>
        <v/>
      </c>
      <c r="D15" s="46" t="str">
        <f aca="false">IF(A15="","",COUNTIF(E15:K15,"&gt;0"))</f>
        <v/>
      </c>
      <c r="E15" s="40"/>
      <c r="F15" s="40"/>
      <c r="G15" s="40"/>
      <c r="H15" s="40"/>
      <c r="I15" s="40"/>
      <c r="J15" s="40"/>
      <c r="K15" s="40"/>
      <c r="L15" s="52"/>
      <c r="M15" s="52"/>
      <c r="N15" s="52"/>
      <c r="O15" s="52"/>
      <c r="P15" s="38"/>
      <c r="Q15" s="38"/>
      <c r="R15" s="38"/>
    </row>
    <row r="16" customFormat="false" ht="15" hidden="false" customHeight="false" outlineLevel="0" collapsed="false">
      <c r="A16" s="38"/>
      <c r="B16" s="38"/>
      <c r="C16" s="42" t="str">
        <f aca="false">IF(A16="","",SUM(E16:K16))</f>
        <v/>
      </c>
      <c r="D16" s="46" t="str">
        <f aca="false">IF(A16="","",COUNTIF(E16:K16,"&gt;0"))</f>
        <v/>
      </c>
      <c r="E16" s="40"/>
      <c r="F16" s="40"/>
      <c r="G16" s="40"/>
      <c r="H16" s="40"/>
      <c r="I16" s="40"/>
      <c r="J16" s="40"/>
      <c r="K16" s="40"/>
      <c r="L16" s="52"/>
      <c r="M16" s="52"/>
      <c r="N16" s="52"/>
      <c r="O16" s="52"/>
      <c r="P16" s="38"/>
      <c r="Q16" s="38"/>
      <c r="R16" s="38"/>
    </row>
    <row r="17" customFormat="false" ht="15" hidden="false" customHeight="false" outlineLevel="0" collapsed="false">
      <c r="A17" s="38"/>
      <c r="B17" s="38"/>
      <c r="C17" s="42" t="str">
        <f aca="false">IF(A17="","",SUM(E17:K17))</f>
        <v/>
      </c>
      <c r="D17" s="46" t="str">
        <f aca="false">IF(A17="","",COUNTIF(E17:K17,"&gt;0"))</f>
        <v/>
      </c>
      <c r="E17" s="40"/>
      <c r="F17" s="40"/>
      <c r="G17" s="40"/>
      <c r="H17" s="40"/>
      <c r="I17" s="40"/>
      <c r="J17" s="40"/>
      <c r="K17" s="40"/>
      <c r="L17" s="52"/>
      <c r="M17" s="52"/>
      <c r="N17" s="52"/>
      <c r="O17" s="52"/>
      <c r="P17" s="38"/>
      <c r="Q17" s="38"/>
      <c r="R17" s="38"/>
    </row>
    <row r="18" customFormat="false" ht="15" hidden="false" customHeight="false" outlineLevel="0" collapsed="false">
      <c r="A18" s="38"/>
      <c r="B18" s="38"/>
      <c r="C18" s="42" t="str">
        <f aca="false">IF(A18="","",SUM(E18:K18))</f>
        <v/>
      </c>
      <c r="D18" s="46" t="str">
        <f aca="false">IF(A18="","",COUNTIF(E18:K18,"&gt;0"))</f>
        <v/>
      </c>
      <c r="E18" s="40"/>
      <c r="F18" s="40"/>
      <c r="G18" s="40"/>
      <c r="H18" s="40"/>
      <c r="I18" s="40"/>
      <c r="J18" s="40"/>
      <c r="K18" s="40"/>
      <c r="L18" s="52"/>
      <c r="M18" s="52"/>
      <c r="N18" s="52"/>
      <c r="O18" s="52"/>
      <c r="P18" s="38"/>
      <c r="Q18" s="38"/>
      <c r="R18" s="38"/>
    </row>
    <row r="19" customFormat="false" ht="15" hidden="false" customHeight="false" outlineLevel="0" collapsed="false">
      <c r="A19" s="38"/>
      <c r="B19" s="38"/>
      <c r="C19" s="42" t="str">
        <f aca="false">IF(A19="","",SUM(E19:K19))</f>
        <v/>
      </c>
      <c r="D19" s="46" t="str">
        <f aca="false">IF(A19="","",COUNTIF(E19:K19,"&gt;0"))</f>
        <v/>
      </c>
      <c r="E19" s="40"/>
      <c r="F19" s="40"/>
      <c r="G19" s="40"/>
      <c r="H19" s="40"/>
      <c r="I19" s="40"/>
      <c r="J19" s="40"/>
      <c r="K19" s="40"/>
      <c r="L19" s="52"/>
      <c r="M19" s="52"/>
      <c r="N19" s="52"/>
      <c r="O19" s="52"/>
      <c r="P19" s="38"/>
      <c r="Q19" s="38"/>
      <c r="R19" s="38"/>
    </row>
    <row r="20" customFormat="false" ht="15" hidden="false" customHeight="false" outlineLevel="0" collapsed="false">
      <c r="A20" s="38"/>
      <c r="B20" s="38"/>
      <c r="C20" s="42" t="str">
        <f aca="false">IF(A20="","",SUM(E20:K20))</f>
        <v/>
      </c>
      <c r="D20" s="46" t="str">
        <f aca="false">IF(A20="","",COUNTIF(E20:K20,"&gt;0"))</f>
        <v/>
      </c>
      <c r="E20" s="40"/>
      <c r="F20" s="40"/>
      <c r="G20" s="40"/>
      <c r="H20" s="40"/>
      <c r="I20" s="40"/>
      <c r="J20" s="40"/>
      <c r="K20" s="40"/>
      <c r="L20" s="52"/>
      <c r="M20" s="52"/>
      <c r="N20" s="52"/>
      <c r="O20" s="52"/>
      <c r="P20" s="38"/>
      <c r="Q20" s="38"/>
      <c r="R20" s="38"/>
    </row>
    <row r="21" customFormat="false" ht="15" hidden="false" customHeight="false" outlineLevel="0" collapsed="false">
      <c r="A21" s="38"/>
      <c r="B21" s="38"/>
      <c r="C21" s="42" t="str">
        <f aca="false">IF(A21="","",SUM(E21:K21))</f>
        <v/>
      </c>
      <c r="D21" s="46" t="str">
        <f aca="false">IF(A21="","",COUNTIF(E21:K21,"&gt;0"))</f>
        <v/>
      </c>
      <c r="E21" s="40"/>
      <c r="F21" s="40"/>
      <c r="G21" s="40"/>
      <c r="H21" s="40"/>
      <c r="I21" s="40"/>
      <c r="J21" s="40"/>
      <c r="K21" s="40"/>
      <c r="L21" s="52"/>
      <c r="M21" s="52"/>
      <c r="N21" s="52"/>
      <c r="O21" s="52"/>
      <c r="P21" s="38"/>
      <c r="Q21" s="38"/>
      <c r="R21" s="38"/>
    </row>
    <row r="22" customFormat="false" ht="15" hidden="false" customHeight="false" outlineLevel="0" collapsed="false">
      <c r="A22" s="38"/>
      <c r="B22" s="38"/>
      <c r="C22" s="42" t="str">
        <f aca="false">IF(A22="","",SUM(E22:K22))</f>
        <v/>
      </c>
      <c r="D22" s="46" t="str">
        <f aca="false">IF(A22="","",COUNTIF(E22:K22,"&gt;0"))</f>
        <v/>
      </c>
      <c r="E22" s="40"/>
      <c r="F22" s="40"/>
      <c r="G22" s="40"/>
      <c r="H22" s="40"/>
      <c r="I22" s="40"/>
      <c r="J22" s="40"/>
      <c r="K22" s="40"/>
      <c r="L22" s="52"/>
      <c r="M22" s="52"/>
      <c r="N22" s="52"/>
      <c r="O22" s="52"/>
      <c r="P22" s="38"/>
      <c r="Q22" s="38"/>
      <c r="R22" s="38"/>
    </row>
    <row r="23" customFormat="false" ht="15" hidden="false" customHeight="false" outlineLevel="0" collapsed="false">
      <c r="A23" s="38"/>
      <c r="B23" s="38"/>
      <c r="C23" s="42" t="str">
        <f aca="false">IF(A23="","",SUM(E23:K23))</f>
        <v/>
      </c>
      <c r="D23" s="46" t="str">
        <f aca="false">IF(A23="","",COUNTIF(E23:K23,"&gt;0"))</f>
        <v/>
      </c>
      <c r="E23" s="40"/>
      <c r="F23" s="40"/>
      <c r="G23" s="40"/>
      <c r="H23" s="40"/>
      <c r="I23" s="40"/>
      <c r="J23" s="40"/>
      <c r="K23" s="40"/>
      <c r="L23" s="52"/>
      <c r="M23" s="52"/>
      <c r="N23" s="52"/>
      <c r="O23" s="52"/>
      <c r="P23" s="38"/>
      <c r="Q23" s="38"/>
      <c r="R23" s="38"/>
    </row>
    <row r="24" customFormat="false" ht="15" hidden="false" customHeight="false" outlineLevel="0" collapsed="false">
      <c r="A24" s="38"/>
      <c r="B24" s="38"/>
      <c r="C24" s="42" t="str">
        <f aca="false">IF(A24="","",SUM(E24:K24))</f>
        <v/>
      </c>
      <c r="D24" s="46" t="str">
        <f aca="false">IF(A24="","",COUNTIF(E24:K24,"&gt;0"))</f>
        <v/>
      </c>
      <c r="E24" s="40"/>
      <c r="F24" s="40"/>
      <c r="G24" s="40"/>
      <c r="H24" s="40"/>
      <c r="I24" s="40"/>
      <c r="J24" s="40"/>
      <c r="K24" s="40"/>
      <c r="L24" s="52"/>
      <c r="M24" s="52"/>
      <c r="N24" s="52"/>
      <c r="O24" s="52"/>
      <c r="P24" s="38"/>
      <c r="Q24" s="38"/>
      <c r="R24" s="38"/>
    </row>
    <row r="25" customFormat="false" ht="15" hidden="false" customHeight="false" outlineLevel="0" collapsed="false">
      <c r="A25" s="38"/>
      <c r="B25" s="38"/>
      <c r="C25" s="42" t="str">
        <f aca="false">IF(A25="","",SUM(E25:K25))</f>
        <v/>
      </c>
      <c r="D25" s="46" t="str">
        <f aca="false">IF(A25="","",COUNTIF(E25:K25,"&gt;0"))</f>
        <v/>
      </c>
      <c r="E25" s="40"/>
      <c r="F25" s="40"/>
      <c r="G25" s="40"/>
      <c r="H25" s="40"/>
      <c r="I25" s="40"/>
      <c r="J25" s="40"/>
      <c r="K25" s="40"/>
      <c r="L25" s="52"/>
      <c r="M25" s="52"/>
      <c r="N25" s="52"/>
      <c r="O25" s="52"/>
      <c r="P25" s="38"/>
      <c r="Q25" s="38"/>
      <c r="R25" s="38"/>
    </row>
    <row r="26" customFormat="false" ht="15" hidden="false" customHeight="false" outlineLevel="0" collapsed="false">
      <c r="A26" s="38"/>
      <c r="B26" s="38"/>
      <c r="C26" s="42" t="str">
        <f aca="false">IF(A26="","",SUM(E26:K26))</f>
        <v/>
      </c>
      <c r="D26" s="46" t="str">
        <f aca="false">IF(A26="","",COUNTIF(E26:K26,"&gt;0"))</f>
        <v/>
      </c>
      <c r="E26" s="40"/>
      <c r="F26" s="40"/>
      <c r="G26" s="40"/>
      <c r="H26" s="40"/>
      <c r="I26" s="40"/>
      <c r="J26" s="40"/>
      <c r="K26" s="40"/>
      <c r="L26" s="52"/>
      <c r="M26" s="52"/>
      <c r="N26" s="52"/>
      <c r="O26" s="52"/>
      <c r="P26" s="38"/>
      <c r="Q26" s="38"/>
      <c r="R26" s="38"/>
    </row>
    <row r="27" customFormat="false" ht="15" hidden="false" customHeight="false" outlineLevel="0" collapsed="false">
      <c r="A27" s="38"/>
      <c r="B27" s="38"/>
      <c r="C27" s="42" t="str">
        <f aca="false">IF(A27="","",SUM(E27:K27))</f>
        <v/>
      </c>
      <c r="D27" s="46" t="str">
        <f aca="false">IF(A27="","",COUNTIF(E27:K27,"&gt;0"))</f>
        <v/>
      </c>
      <c r="E27" s="40"/>
      <c r="F27" s="40"/>
      <c r="G27" s="40"/>
      <c r="H27" s="40"/>
      <c r="I27" s="40"/>
      <c r="J27" s="40"/>
      <c r="K27" s="40"/>
      <c r="L27" s="52"/>
      <c r="M27" s="52"/>
      <c r="N27" s="52"/>
      <c r="O27" s="52"/>
      <c r="P27" s="38"/>
      <c r="Q27" s="38"/>
      <c r="R27" s="38"/>
    </row>
    <row r="28" customFormat="false" ht="15" hidden="false" customHeight="false" outlineLevel="0" collapsed="false">
      <c r="A28" s="38"/>
      <c r="B28" s="38"/>
      <c r="C28" s="42" t="str">
        <f aca="false">IF(A28="","",SUM(E28:K28))</f>
        <v/>
      </c>
      <c r="D28" s="46" t="str">
        <f aca="false">IF(A28="","",COUNTIF(E28:K28,"&gt;0"))</f>
        <v/>
      </c>
      <c r="E28" s="40"/>
      <c r="F28" s="40"/>
      <c r="G28" s="40"/>
      <c r="H28" s="40"/>
      <c r="I28" s="40"/>
      <c r="J28" s="40"/>
      <c r="K28" s="40"/>
      <c r="L28" s="52"/>
      <c r="M28" s="52"/>
      <c r="N28" s="52"/>
      <c r="O28" s="52"/>
      <c r="P28" s="38"/>
      <c r="Q28" s="38"/>
      <c r="R28" s="38"/>
    </row>
    <row r="29" customFormat="false" ht="15" hidden="false" customHeight="false" outlineLevel="0" collapsed="false">
      <c r="A29" s="38"/>
      <c r="B29" s="38"/>
      <c r="C29" s="42" t="str">
        <f aca="false">IF(A29="","",SUM(E29:K29))</f>
        <v/>
      </c>
      <c r="D29" s="46" t="str">
        <f aca="false">IF(A29="","",COUNTIF(E29:K29,"&gt;0"))</f>
        <v/>
      </c>
      <c r="E29" s="40"/>
      <c r="F29" s="40"/>
      <c r="G29" s="40"/>
      <c r="H29" s="40"/>
      <c r="I29" s="40"/>
      <c r="J29" s="40"/>
      <c r="K29" s="40"/>
      <c r="L29" s="52"/>
      <c r="M29" s="52"/>
      <c r="N29" s="52"/>
      <c r="O29" s="52"/>
      <c r="P29" s="38"/>
      <c r="Q29" s="38"/>
      <c r="R29" s="38"/>
    </row>
    <row r="30" customFormat="false" ht="15" hidden="false" customHeight="false" outlineLevel="0" collapsed="false">
      <c r="A30" s="38"/>
      <c r="B30" s="38"/>
      <c r="C30" s="42" t="str">
        <f aca="false">IF(A30="","",SUM(E30:K30))</f>
        <v/>
      </c>
      <c r="D30" s="46" t="str">
        <f aca="false">IF(A30="","",COUNTIF(E30:K30,"&gt;0"))</f>
        <v/>
      </c>
      <c r="E30" s="40"/>
      <c r="F30" s="40"/>
      <c r="G30" s="40"/>
      <c r="H30" s="40"/>
      <c r="I30" s="40"/>
      <c r="J30" s="40"/>
      <c r="K30" s="40"/>
      <c r="L30" s="52"/>
      <c r="M30" s="52"/>
      <c r="N30" s="52"/>
      <c r="O30" s="52"/>
      <c r="P30" s="38"/>
      <c r="Q30" s="38"/>
      <c r="R30" s="38"/>
    </row>
    <row r="31" customFormat="false" ht="15" hidden="false" customHeight="false" outlineLevel="0" collapsed="false">
      <c r="A31" s="38"/>
      <c r="B31" s="38"/>
      <c r="C31" s="42" t="str">
        <f aca="false">IF(A31="","",SUM(E31:K31))</f>
        <v/>
      </c>
      <c r="D31" s="46" t="str">
        <f aca="false">IF(A31="","",COUNTIF(E31:K31,"&gt;0"))</f>
        <v/>
      </c>
      <c r="E31" s="40"/>
      <c r="F31" s="40"/>
      <c r="G31" s="40"/>
      <c r="H31" s="40"/>
      <c r="I31" s="40"/>
      <c r="J31" s="40"/>
      <c r="K31" s="40"/>
      <c r="L31" s="52"/>
      <c r="M31" s="52"/>
      <c r="N31" s="52"/>
      <c r="O31" s="52"/>
      <c r="P31" s="38"/>
      <c r="Q31" s="38"/>
      <c r="R31" s="38"/>
    </row>
    <row r="32" customFormat="false" ht="15" hidden="false" customHeight="false" outlineLevel="0" collapsed="false">
      <c r="A32" s="38"/>
      <c r="B32" s="38"/>
      <c r="C32" s="42" t="str">
        <f aca="false">IF(A32="","",SUM(E32:K32))</f>
        <v/>
      </c>
      <c r="D32" s="46" t="str">
        <f aca="false">IF(A32="","",COUNTIF(E32:K32,"&gt;0"))</f>
        <v/>
      </c>
      <c r="E32" s="40"/>
      <c r="F32" s="40"/>
      <c r="G32" s="40"/>
      <c r="H32" s="40"/>
      <c r="I32" s="40"/>
      <c r="J32" s="40"/>
      <c r="K32" s="40"/>
      <c r="L32" s="52"/>
      <c r="M32" s="52"/>
      <c r="N32" s="52"/>
      <c r="O32" s="52"/>
      <c r="P32" s="38"/>
      <c r="Q32" s="38"/>
      <c r="R32" s="38"/>
    </row>
    <row r="33" customFormat="false" ht="15" hidden="false" customHeight="false" outlineLevel="0" collapsed="false">
      <c r="A33" s="38"/>
      <c r="B33" s="38"/>
      <c r="C33" s="42" t="str">
        <f aca="false">IF(A33="","",SUM(E33:K33))</f>
        <v/>
      </c>
      <c r="D33" s="46" t="str">
        <f aca="false">IF(A33="","",COUNTIF(E33:K33,"&gt;0"))</f>
        <v/>
      </c>
      <c r="E33" s="40"/>
      <c r="F33" s="40"/>
      <c r="G33" s="40"/>
      <c r="H33" s="40"/>
      <c r="I33" s="40"/>
      <c r="J33" s="40"/>
      <c r="K33" s="40"/>
      <c r="L33" s="52"/>
      <c r="M33" s="52"/>
      <c r="N33" s="52"/>
      <c r="O33" s="52"/>
      <c r="P33" s="38"/>
      <c r="Q33" s="38"/>
      <c r="R33" s="38"/>
    </row>
    <row r="34" customFormat="false" ht="15" hidden="false" customHeight="false" outlineLevel="0" collapsed="false">
      <c r="A34" s="38"/>
      <c r="B34" s="38"/>
      <c r="C34" s="42" t="str">
        <f aca="false">IF(A34="","",SUM(E34:K34))</f>
        <v/>
      </c>
      <c r="D34" s="46" t="str">
        <f aca="false">IF(A34="","",COUNTIF(E34:K34,"&gt;0"))</f>
        <v/>
      </c>
      <c r="E34" s="40"/>
      <c r="F34" s="40"/>
      <c r="G34" s="40"/>
      <c r="H34" s="40"/>
      <c r="I34" s="40"/>
      <c r="J34" s="40"/>
      <c r="K34" s="40"/>
      <c r="L34" s="52"/>
      <c r="M34" s="52"/>
      <c r="N34" s="52"/>
      <c r="O34" s="52"/>
      <c r="P34" s="38"/>
      <c r="Q34" s="38"/>
      <c r="R34" s="38"/>
    </row>
  </sheetData>
  <mergeCells count="1">
    <mergeCell ref="A2:R2"/>
  </mergeCells>
  <conditionalFormatting sqref="C5:C34">
    <cfRule type="expression" priority="2" aboveAverage="0" equalAverage="0" bottom="0" percent="0" rank="0" text="" dxfId="13">
      <formula>AND($A5&lt;&gt;"",$C5&gt;P_MaxWoche)</formula>
    </cfRule>
  </conditionalFormatting>
  <dataValidations count="3">
    <dataValidation allowBlank="true" errorStyle="stop" operator="between" showDropDown="false" showErrorMessage="false" showInputMessage="false" sqref="P5:P34" type="list">
      <formula1>Listen!$C$2:$C$3</formula1>
      <formula2>0</formula2>
    </dataValidation>
    <dataValidation allowBlank="true" error="Stunden pro Tag zwischen 0 und 24 (Dezimalstunden)." errorStyle="stop" errorTitle="Ungültig" operator="between" showDropDown="false" showErrorMessage="true" showInputMessage="false" sqref="E5:K34" type="decimal">
      <formula1>0</formula1>
      <formula2>24</formula2>
    </dataValidation>
    <dataValidation allowBlank="true" error="Bitte Uhrzeit im Format hh:mm eingeben." errorStyle="stop" errorTitle="Ungültig" operator="between" showDropDown="false" showErrorMessage="true" showInputMessage="false" sqref="L5:O34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2" t="s">
        <v>179</v>
      </c>
    </row>
    <row r="2" customFormat="false" ht="30" hidden="false" customHeight="true" outlineLevel="0" collapsed="false">
      <c r="A2" s="49" t="s">
        <v>180</v>
      </c>
      <c r="B2" s="49"/>
      <c r="C2" s="49"/>
      <c r="D2" s="49"/>
    </row>
    <row r="3" customFormat="false" ht="15" hidden="false" customHeight="false" outlineLevel="0" collapsed="false">
      <c r="A3" s="53" t="s">
        <v>9</v>
      </c>
      <c r="B3" s="53" t="s">
        <v>181</v>
      </c>
      <c r="C3" s="53" t="s">
        <v>182</v>
      </c>
      <c r="D3" s="53" t="s">
        <v>183</v>
      </c>
    </row>
    <row r="4" customFormat="false" ht="15" hidden="false" customHeight="false" outlineLevel="0" collapsed="false">
      <c r="A4" s="54" t="s">
        <v>184</v>
      </c>
      <c r="B4" s="55"/>
      <c r="C4" s="55"/>
      <c r="D4" s="55"/>
    </row>
    <row r="5" customFormat="false" ht="15" hidden="false" customHeight="false" outlineLevel="0" collapsed="false">
      <c r="A5" s="56" t="s">
        <v>185</v>
      </c>
      <c r="B5" s="57" t="s">
        <v>186</v>
      </c>
      <c r="C5" s="56"/>
      <c r="D5" s="58" t="s">
        <v>187</v>
      </c>
    </row>
    <row r="6" customFormat="false" ht="15" hidden="false" customHeight="false" outlineLevel="0" collapsed="false">
      <c r="A6" s="56" t="s">
        <v>188</v>
      </c>
      <c r="B6" s="59" t="n">
        <f aca="true">TODAY()</f>
        <v>46323</v>
      </c>
      <c r="C6" s="56" t="s">
        <v>189</v>
      </c>
      <c r="D6" s="58" t="s">
        <v>190</v>
      </c>
    </row>
    <row r="7" customFormat="false" ht="15" hidden="false" customHeight="false" outlineLevel="0" collapsed="false">
      <c r="A7" s="56" t="s">
        <v>191</v>
      </c>
      <c r="B7" s="60" t="n">
        <v>46023</v>
      </c>
      <c r="C7" s="56" t="s">
        <v>189</v>
      </c>
      <c r="D7" s="58" t="s">
        <v>192</v>
      </c>
    </row>
    <row r="8" customFormat="false" ht="15" hidden="false" customHeight="false" outlineLevel="0" collapsed="false">
      <c r="A8" s="54" t="s">
        <v>193</v>
      </c>
      <c r="B8" s="55"/>
      <c r="C8" s="55"/>
      <c r="D8" s="55"/>
    </row>
    <row r="9" customFormat="false" ht="15" hidden="false" customHeight="false" outlineLevel="0" collapsed="false">
      <c r="A9" s="56" t="s">
        <v>194</v>
      </c>
      <c r="B9" s="61" t="n">
        <v>13.9</v>
      </c>
      <c r="C9" s="56" t="s">
        <v>195</v>
      </c>
      <c r="D9" s="58" t="s">
        <v>196</v>
      </c>
    </row>
    <row r="10" customFormat="false" ht="15" hidden="false" customHeight="false" outlineLevel="0" collapsed="false">
      <c r="A10" s="56" t="s">
        <v>197</v>
      </c>
      <c r="B10" s="57" t="n">
        <v>603</v>
      </c>
      <c r="C10" s="56" t="s">
        <v>198</v>
      </c>
      <c r="D10" s="58" t="s">
        <v>199</v>
      </c>
    </row>
    <row r="11" customFormat="false" ht="15" hidden="false" customHeight="false" outlineLevel="0" collapsed="false">
      <c r="A11" s="56" t="s">
        <v>200</v>
      </c>
      <c r="B11" s="57" t="n">
        <v>24</v>
      </c>
      <c r="C11" s="56" t="s">
        <v>201</v>
      </c>
      <c r="D11" s="58" t="s">
        <v>202</v>
      </c>
    </row>
    <row r="12" customFormat="false" ht="15" hidden="false" customHeight="false" outlineLevel="0" collapsed="false">
      <c r="A12" s="56" t="s">
        <v>203</v>
      </c>
      <c r="B12" s="57" t="n">
        <v>5</v>
      </c>
      <c r="C12" s="56" t="s">
        <v>204</v>
      </c>
      <c r="D12" s="58" t="s">
        <v>205</v>
      </c>
    </row>
    <row r="13" customFormat="false" ht="15" hidden="false" customHeight="false" outlineLevel="0" collapsed="false">
      <c r="A13" s="56" t="s">
        <v>206</v>
      </c>
      <c r="B13" s="57" t="n">
        <v>8</v>
      </c>
      <c r="C13" s="56" t="s">
        <v>207</v>
      </c>
      <c r="D13" s="58" t="s">
        <v>208</v>
      </c>
    </row>
    <row r="14" customFormat="false" ht="15" hidden="false" customHeight="false" outlineLevel="0" collapsed="false">
      <c r="A14" s="56" t="s">
        <v>209</v>
      </c>
      <c r="B14" s="57" t="n">
        <v>10</v>
      </c>
      <c r="C14" s="56" t="s">
        <v>207</v>
      </c>
      <c r="D14" s="58" t="s">
        <v>210</v>
      </c>
    </row>
    <row r="15" customFormat="false" ht="15" hidden="false" customHeight="false" outlineLevel="0" collapsed="false">
      <c r="A15" s="56" t="s">
        <v>211</v>
      </c>
      <c r="B15" s="57" t="n">
        <v>48</v>
      </c>
      <c r="C15" s="56" t="s">
        <v>207</v>
      </c>
      <c r="D15" s="58" t="s">
        <v>212</v>
      </c>
    </row>
    <row r="16" customFormat="false" ht="15" hidden="false" customHeight="false" outlineLevel="0" collapsed="false">
      <c r="A16" s="56" t="s">
        <v>213</v>
      </c>
      <c r="B16" s="57" t="n">
        <v>8</v>
      </c>
      <c r="C16" s="56" t="s">
        <v>207</v>
      </c>
      <c r="D16" s="58" t="s">
        <v>214</v>
      </c>
    </row>
    <row r="17" customFormat="false" ht="15" hidden="false" customHeight="false" outlineLevel="0" collapsed="false">
      <c r="A17" s="56" t="s">
        <v>215</v>
      </c>
      <c r="B17" s="57" t="n">
        <v>40</v>
      </c>
      <c r="C17" s="56" t="s">
        <v>207</v>
      </c>
      <c r="D17" s="58" t="s">
        <v>214</v>
      </c>
    </row>
    <row r="18" customFormat="false" ht="15" hidden="false" customHeight="false" outlineLevel="0" collapsed="false">
      <c r="A18" s="56" t="s">
        <v>216</v>
      </c>
      <c r="B18" s="57" t="n">
        <v>11</v>
      </c>
      <c r="C18" s="56" t="s">
        <v>207</v>
      </c>
      <c r="D18" s="58" t="s">
        <v>217</v>
      </c>
    </row>
    <row r="19" customFormat="false" ht="15" hidden="false" customHeight="false" outlineLevel="0" collapsed="false">
      <c r="A19" s="56" t="s">
        <v>218</v>
      </c>
      <c r="B19" s="57" t="n">
        <v>30</v>
      </c>
      <c r="C19" s="56" t="s">
        <v>219</v>
      </c>
      <c r="D19" s="58" t="s">
        <v>220</v>
      </c>
    </row>
    <row r="20" customFormat="false" ht="15" hidden="false" customHeight="false" outlineLevel="0" collapsed="false">
      <c r="A20" s="56" t="s">
        <v>221</v>
      </c>
      <c r="B20" s="57" t="n">
        <v>45</v>
      </c>
      <c r="C20" s="56" t="s">
        <v>219</v>
      </c>
      <c r="D20" s="58" t="s">
        <v>220</v>
      </c>
    </row>
    <row r="21" customFormat="false" ht="15" hidden="false" customHeight="false" outlineLevel="0" collapsed="false">
      <c r="A21" s="56" t="s">
        <v>222</v>
      </c>
      <c r="B21" s="57" t="s">
        <v>223</v>
      </c>
      <c r="C21" s="56"/>
      <c r="D21" s="58" t="s">
        <v>224</v>
      </c>
    </row>
    <row r="22" customFormat="false" ht="23.85" hidden="false" customHeight="false" outlineLevel="0" collapsed="false">
      <c r="A22" s="56" t="s">
        <v>225</v>
      </c>
      <c r="B22" s="57" t="n">
        <v>2</v>
      </c>
      <c r="C22" s="56" t="s">
        <v>226</v>
      </c>
      <c r="D22" s="58" t="s">
        <v>227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4"/>
    <col collapsed="false" customWidth="true" hidden="false" outlineLevel="0" max="8" min="5" style="0" width="22"/>
    <col collapsed="false" customWidth="true" hidden="false" outlineLevel="0" max="10" min="9" style="0" width="34"/>
    <col collapsed="false" customWidth="true" hidden="false" outlineLevel="0" max="12" min="11" style="0" width="22"/>
  </cols>
  <sheetData>
    <row r="1" customFormat="false" ht="15" hidden="false" customHeight="false" outlineLevel="0" collapsed="false">
      <c r="A1" s="62" t="s">
        <v>59</v>
      </c>
      <c r="B1" s="62" t="s">
        <v>62</v>
      </c>
      <c r="C1" s="62" t="s">
        <v>228</v>
      </c>
      <c r="D1" s="62" t="s">
        <v>71</v>
      </c>
      <c r="E1" s="62" t="s">
        <v>229</v>
      </c>
      <c r="F1" s="62" t="s">
        <v>77</v>
      </c>
      <c r="G1" s="62" t="s">
        <v>79</v>
      </c>
      <c r="H1" s="62" t="s">
        <v>230</v>
      </c>
      <c r="I1" s="62" t="s">
        <v>231</v>
      </c>
      <c r="J1" s="62" t="s">
        <v>232</v>
      </c>
      <c r="K1" s="62" t="s">
        <v>98</v>
      </c>
      <c r="L1" s="62" t="s">
        <v>108</v>
      </c>
    </row>
    <row r="2" customFormat="false" ht="15" hidden="false" customHeight="false" outlineLevel="0" collapsed="false">
      <c r="A2" s="38" t="s">
        <v>119</v>
      </c>
      <c r="B2" s="38" t="s">
        <v>120</v>
      </c>
      <c r="C2" s="38" t="s">
        <v>137</v>
      </c>
      <c r="D2" s="38" t="s">
        <v>126</v>
      </c>
      <c r="E2" s="38" t="s">
        <v>127</v>
      </c>
      <c r="F2" s="38" t="s">
        <v>233</v>
      </c>
      <c r="G2" s="38" t="s">
        <v>131</v>
      </c>
      <c r="H2" s="38" t="s">
        <v>234</v>
      </c>
      <c r="I2" s="38" t="s">
        <v>235</v>
      </c>
      <c r="J2" s="38" t="s">
        <v>138</v>
      </c>
      <c r="K2" s="38" t="s">
        <v>139</v>
      </c>
      <c r="L2" s="38" t="s">
        <v>140</v>
      </c>
    </row>
    <row r="3" customFormat="false" ht="15" hidden="false" customHeight="false" outlineLevel="0" collapsed="false">
      <c r="A3" s="38" t="s">
        <v>236</v>
      </c>
      <c r="B3" s="38" t="s">
        <v>237</v>
      </c>
      <c r="C3" s="38" t="s">
        <v>125</v>
      </c>
      <c r="D3" s="38" t="s">
        <v>238</v>
      </c>
      <c r="E3" s="38" t="s">
        <v>239</v>
      </c>
      <c r="F3" s="38" t="s">
        <v>129</v>
      </c>
      <c r="G3" s="38" t="s">
        <v>240</v>
      </c>
      <c r="H3" s="38" t="s">
        <v>241</v>
      </c>
      <c r="I3" s="38" t="s">
        <v>136</v>
      </c>
      <c r="J3" s="38" t="s">
        <v>242</v>
      </c>
      <c r="K3" s="38" t="s">
        <v>243</v>
      </c>
      <c r="L3" s="38" t="s">
        <v>244</v>
      </c>
    </row>
    <row r="4" customFormat="false" ht="15" hidden="false" customHeight="false" outlineLevel="0" collapsed="false">
      <c r="A4" s="38" t="s">
        <v>245</v>
      </c>
      <c r="B4" s="38" t="s">
        <v>246</v>
      </c>
      <c r="D4" s="38" t="s">
        <v>247</v>
      </c>
      <c r="E4" s="38" t="s">
        <v>248</v>
      </c>
      <c r="F4" s="38" t="s">
        <v>249</v>
      </c>
      <c r="G4" s="63"/>
      <c r="H4" s="38" t="s">
        <v>250</v>
      </c>
      <c r="I4" s="38" t="s">
        <v>251</v>
      </c>
      <c r="J4" s="38" t="s">
        <v>252</v>
      </c>
      <c r="K4" s="38" t="s">
        <v>253</v>
      </c>
    </row>
    <row r="5" customFormat="false" ht="15" hidden="false" customHeight="false" outlineLevel="0" collapsed="false">
      <c r="A5" s="38" t="s">
        <v>254</v>
      </c>
      <c r="B5" s="38" t="s">
        <v>255</v>
      </c>
      <c r="E5" s="38" t="s">
        <v>256</v>
      </c>
      <c r="F5" s="38" t="s">
        <v>257</v>
      </c>
      <c r="G5" s="63"/>
      <c r="H5" s="38" t="s">
        <v>258</v>
      </c>
      <c r="I5" s="38" t="s">
        <v>259</v>
      </c>
      <c r="J5" s="38" t="s">
        <v>260</v>
      </c>
    </row>
    <row r="6" customFormat="false" ht="15" hidden="false" customHeight="false" outlineLevel="0" collapsed="false">
      <c r="E6" s="38" t="s">
        <v>261</v>
      </c>
      <c r="F6" s="38" t="s">
        <v>262</v>
      </c>
      <c r="G6" s="63"/>
      <c r="H6" s="38" t="s">
        <v>263</v>
      </c>
    </row>
    <row r="7" customFormat="false" ht="15" hidden="false" customHeight="false" outlineLevel="0" collapsed="false">
      <c r="E7" s="38" t="s">
        <v>264</v>
      </c>
      <c r="F7" s="38" t="s">
        <v>265</v>
      </c>
      <c r="G7" s="63"/>
      <c r="H7" s="38" t="s">
        <v>266</v>
      </c>
    </row>
    <row r="8" customFormat="false" ht="15" hidden="false" customHeight="false" outlineLevel="0" collapsed="false">
      <c r="E8" s="38" t="s">
        <v>267</v>
      </c>
      <c r="F8" s="38" t="s">
        <v>268</v>
      </c>
      <c r="G8" s="63"/>
      <c r="H8" s="38" t="s">
        <v>269</v>
      </c>
    </row>
    <row r="9" customFormat="false" ht="15" hidden="false" customHeight="false" outlineLevel="0" collapsed="false">
      <c r="E9" s="38" t="s">
        <v>270</v>
      </c>
      <c r="F9" s="63"/>
      <c r="G9" s="63"/>
      <c r="H9" s="38" t="s">
        <v>271</v>
      </c>
    </row>
    <row r="10" customFormat="false" ht="15" hidden="false" customHeight="false" outlineLevel="0" collapsed="false">
      <c r="E10" s="38" t="s">
        <v>272</v>
      </c>
      <c r="F10" s="63"/>
      <c r="G10" s="63"/>
      <c r="H10" s="38" t="s">
        <v>273</v>
      </c>
    </row>
    <row r="11" customFormat="false" ht="15" hidden="false" customHeight="false" outlineLevel="0" collapsed="false">
      <c r="F11" s="63"/>
      <c r="G11" s="63"/>
      <c r="H11" s="38" t="s">
        <v>132</v>
      </c>
    </row>
    <row r="12" customFormat="false" ht="15" hidden="false" customHeight="false" outlineLevel="0" collapsed="false">
      <c r="F12" s="63"/>
      <c r="G12" s="63"/>
      <c r="H12" s="38" t="s">
        <v>274</v>
      </c>
    </row>
    <row r="13" customFormat="false" ht="15" hidden="false" customHeight="false" outlineLevel="0" collapsed="false">
      <c r="F13" s="63"/>
      <c r="G13" s="63"/>
      <c r="H13" s="38" t="s">
        <v>275</v>
      </c>
    </row>
    <row r="14" customFormat="false" ht="15" hidden="false" customHeight="false" outlineLevel="0" collapsed="false">
      <c r="F14" s="63"/>
      <c r="G14" s="63"/>
      <c r="H14" s="38" t="s">
        <v>276</v>
      </c>
    </row>
    <row r="15" customFormat="false" ht="15" hidden="false" customHeight="false" outlineLevel="0" collapsed="false">
      <c r="F15" s="63"/>
      <c r="G15" s="63"/>
      <c r="H15" s="38" t="s">
        <v>277</v>
      </c>
    </row>
    <row r="16" customFormat="false" ht="15" hidden="false" customHeight="false" outlineLevel="0" collapsed="false">
      <c r="F16" s="63"/>
      <c r="G16" s="63"/>
      <c r="H16" s="38" t="s">
        <v>278</v>
      </c>
    </row>
    <row r="17" customFormat="false" ht="15" hidden="false" customHeight="false" outlineLevel="0" collapsed="false">
      <c r="F17" s="63"/>
      <c r="G17" s="63"/>
      <c r="H17" s="38" t="s">
        <v>279</v>
      </c>
    </row>
    <row r="18" customFormat="false" ht="15" hidden="false" customHeight="false" outlineLevel="0" collapsed="false">
      <c r="F18" s="63"/>
      <c r="G18" s="63"/>
    </row>
    <row r="19" customFormat="false" ht="15" hidden="false" customHeight="false" outlineLevel="0" collapsed="false">
      <c r="F19" s="63"/>
      <c r="G19" s="63"/>
    </row>
    <row r="20" customFormat="false" ht="15" hidden="false" customHeight="false" outlineLevel="0" collapsed="false">
      <c r="F20" s="63"/>
      <c r="G20" s="63"/>
    </row>
    <row r="21" customFormat="false" ht="15" hidden="false" customHeight="false" outlineLevel="0" collapsed="false">
      <c r="F21" s="63"/>
      <c r="G21" s="63"/>
    </row>
    <row r="22" customFormat="false" ht="15" hidden="false" customHeight="false" outlineLevel="0" collapsed="false">
      <c r="F22" s="63"/>
      <c r="G22" s="63"/>
    </row>
    <row r="23" customFormat="false" ht="15" hidden="false" customHeight="false" outlineLevel="0" collapsed="false">
      <c r="F23" s="63"/>
      <c r="G23" s="63"/>
    </row>
    <row r="24" customFormat="false" ht="15" hidden="false" customHeight="false" outlineLevel="0" collapsed="false">
      <c r="F24" s="63"/>
      <c r="G24" s="63"/>
    </row>
    <row r="25" customFormat="false" ht="15" hidden="false" customHeight="false" outlineLevel="0" collapsed="false">
      <c r="F25" s="63"/>
      <c r="G25" s="63"/>
    </row>
    <row r="26" customFormat="false" ht="15" hidden="false" customHeight="false" outlineLevel="0" collapsed="false">
      <c r="F26" s="63"/>
      <c r="G26" s="63"/>
    </row>
    <row r="27" customFormat="false" ht="15" hidden="false" customHeight="false" outlineLevel="0" collapsed="false">
      <c r="F27" s="63"/>
      <c r="G27" s="63"/>
    </row>
    <row r="28" customFormat="false" ht="15" hidden="false" customHeight="false" outlineLevel="0" collapsed="false">
      <c r="F28" s="63"/>
      <c r="G28" s="63"/>
    </row>
    <row r="29" customFormat="false" ht="15" hidden="false" customHeight="false" outlineLevel="0" collapsed="false">
      <c r="F29" s="63"/>
    </row>
    <row r="30" customFormat="false" ht="15" hidden="false" customHeight="false" outlineLevel="0" collapsed="false">
      <c r="F30" s="63"/>
    </row>
    <row r="31" customFormat="false" ht="15" hidden="false" customHeight="false" outlineLevel="0" collapsed="false">
      <c r="F31" s="63"/>
    </row>
    <row r="32" customFormat="false" ht="15" hidden="false" customHeight="false" outlineLevel="0" collapsed="false">
      <c r="F32" s="63"/>
    </row>
    <row r="33" customFormat="false" ht="15" hidden="false" customHeight="false" outlineLevel="0" collapsed="false">
      <c r="F33" s="6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2" t="s">
        <v>280</v>
      </c>
    </row>
    <row r="3" customFormat="false" ht="15" hidden="false" customHeight="false" outlineLevel="0" collapsed="false">
      <c r="A3" s="64" t="s">
        <v>281</v>
      </c>
      <c r="B3" s="64" t="s">
        <v>282</v>
      </c>
      <c r="C3" s="64" t="s">
        <v>283</v>
      </c>
      <c r="D3" s="64" t="s">
        <v>284</v>
      </c>
      <c r="E3" s="64" t="s">
        <v>285</v>
      </c>
      <c r="F3" s="64" t="s">
        <v>286</v>
      </c>
      <c r="G3" s="64" t="s">
        <v>287</v>
      </c>
    </row>
    <row r="4" customFormat="false" ht="23.85" hidden="false" customHeight="false" outlineLevel="0" collapsed="false">
      <c r="A4" s="58" t="n">
        <v>1</v>
      </c>
      <c r="B4" s="58" t="s">
        <v>288</v>
      </c>
      <c r="C4" s="58" t="s">
        <v>56</v>
      </c>
      <c r="D4" s="58" t="s">
        <v>289</v>
      </c>
      <c r="E4" s="65" t="s">
        <v>290</v>
      </c>
      <c r="F4" s="58" t="s">
        <v>291</v>
      </c>
      <c r="G4" s="58" t="s">
        <v>292</v>
      </c>
    </row>
    <row r="5" customFormat="false" ht="15" hidden="false" customHeight="false" outlineLevel="0" collapsed="false">
      <c r="A5" s="58" t="n">
        <v>2</v>
      </c>
      <c r="B5" s="58" t="s">
        <v>293</v>
      </c>
      <c r="C5" s="58" t="s">
        <v>57</v>
      </c>
      <c r="D5" s="58" t="s">
        <v>289</v>
      </c>
      <c r="E5" s="65" t="s">
        <v>290</v>
      </c>
      <c r="F5" s="58" t="s">
        <v>291</v>
      </c>
      <c r="G5" s="58" t="s">
        <v>294</v>
      </c>
    </row>
    <row r="6" customFormat="false" ht="15" hidden="false" customHeight="false" outlineLevel="0" collapsed="false">
      <c r="A6" s="58" t="n">
        <v>3</v>
      </c>
      <c r="B6" s="58" t="s">
        <v>295</v>
      </c>
      <c r="C6" s="58" t="s">
        <v>58</v>
      </c>
      <c r="D6" s="58" t="s">
        <v>289</v>
      </c>
      <c r="E6" s="65" t="s">
        <v>290</v>
      </c>
      <c r="F6" s="58" t="s">
        <v>291</v>
      </c>
      <c r="G6" s="58" t="s">
        <v>296</v>
      </c>
    </row>
    <row r="7" customFormat="false" ht="15" hidden="false" customHeight="false" outlineLevel="0" collapsed="false">
      <c r="A7" s="58" t="n">
        <v>4</v>
      </c>
      <c r="B7" s="58" t="s">
        <v>297</v>
      </c>
      <c r="C7" s="58" t="s">
        <v>59</v>
      </c>
      <c r="D7" s="58" t="s">
        <v>289</v>
      </c>
      <c r="E7" s="66" t="s">
        <v>298</v>
      </c>
      <c r="F7" s="58" t="s">
        <v>299</v>
      </c>
      <c r="G7" s="58" t="s">
        <v>300</v>
      </c>
    </row>
    <row r="8" customFormat="false" ht="15" hidden="false" customHeight="false" outlineLevel="0" collapsed="false">
      <c r="A8" s="58" t="n">
        <v>5</v>
      </c>
      <c r="B8" s="58" t="s">
        <v>301</v>
      </c>
      <c r="C8" s="58" t="s">
        <v>60</v>
      </c>
      <c r="D8" s="58" t="s">
        <v>289</v>
      </c>
      <c r="E8" s="66" t="s">
        <v>298</v>
      </c>
      <c r="F8" s="58" t="s">
        <v>291</v>
      </c>
      <c r="G8" s="58" t="s">
        <v>302</v>
      </c>
    </row>
    <row r="9" customFormat="false" ht="15" hidden="false" customHeight="false" outlineLevel="0" collapsed="false">
      <c r="A9" s="58" t="n">
        <v>6</v>
      </c>
      <c r="B9" s="58" t="s">
        <v>303</v>
      </c>
      <c r="C9" s="58" t="s">
        <v>61</v>
      </c>
      <c r="D9" s="58" t="s">
        <v>289</v>
      </c>
      <c r="E9" s="65" t="s">
        <v>290</v>
      </c>
      <c r="F9" s="58" t="s">
        <v>304</v>
      </c>
      <c r="G9" s="58" t="s">
        <v>305</v>
      </c>
    </row>
    <row r="10" customFormat="false" ht="23.85" hidden="false" customHeight="false" outlineLevel="0" collapsed="false">
      <c r="A10" s="58" t="n">
        <v>7</v>
      </c>
      <c r="B10" s="58" t="s">
        <v>306</v>
      </c>
      <c r="C10" s="58" t="s">
        <v>62</v>
      </c>
      <c r="D10" s="58" t="s">
        <v>289</v>
      </c>
      <c r="E10" s="66" t="s">
        <v>298</v>
      </c>
      <c r="F10" s="58" t="s">
        <v>307</v>
      </c>
      <c r="G10" s="58" t="s">
        <v>308</v>
      </c>
    </row>
    <row r="11" customFormat="false" ht="15" hidden="false" customHeight="false" outlineLevel="0" collapsed="false">
      <c r="A11" s="58" t="n">
        <v>8</v>
      </c>
      <c r="B11" s="58" t="s">
        <v>309</v>
      </c>
      <c r="C11" s="58" t="s">
        <v>63</v>
      </c>
      <c r="D11" s="58" t="s">
        <v>289</v>
      </c>
      <c r="E11" s="66" t="s">
        <v>298</v>
      </c>
      <c r="F11" s="58" t="s">
        <v>291</v>
      </c>
      <c r="G11" s="58" t="s">
        <v>310</v>
      </c>
    </row>
    <row r="12" customFormat="false" ht="15" hidden="false" customHeight="false" outlineLevel="0" collapsed="false">
      <c r="A12" s="58" t="n">
        <v>9</v>
      </c>
      <c r="B12" s="58" t="s">
        <v>311</v>
      </c>
      <c r="C12" s="58" t="s">
        <v>64</v>
      </c>
      <c r="D12" s="58" t="s">
        <v>289</v>
      </c>
      <c r="E12" s="66" t="s">
        <v>298</v>
      </c>
      <c r="F12" s="58" t="s">
        <v>291</v>
      </c>
      <c r="G12" s="58" t="s">
        <v>312</v>
      </c>
    </row>
    <row r="13" customFormat="false" ht="15" hidden="false" customHeight="false" outlineLevel="0" collapsed="false">
      <c r="A13" s="58" t="n">
        <v>10</v>
      </c>
      <c r="B13" s="58" t="s">
        <v>313</v>
      </c>
      <c r="C13" s="58" t="s">
        <v>65</v>
      </c>
      <c r="D13" s="58" t="s">
        <v>289</v>
      </c>
      <c r="E13" s="66" t="s">
        <v>298</v>
      </c>
      <c r="F13" s="58" t="s">
        <v>291</v>
      </c>
      <c r="G13" s="58" t="s">
        <v>314</v>
      </c>
    </row>
    <row r="14" customFormat="false" ht="15" hidden="false" customHeight="false" outlineLevel="0" collapsed="false">
      <c r="A14" s="58" t="n">
        <v>11</v>
      </c>
      <c r="B14" s="58" t="s">
        <v>315</v>
      </c>
      <c r="C14" s="58" t="s">
        <v>66</v>
      </c>
      <c r="D14" s="58" t="s">
        <v>289</v>
      </c>
      <c r="E14" s="66" t="s">
        <v>298</v>
      </c>
      <c r="F14" s="58" t="s">
        <v>291</v>
      </c>
      <c r="G14" s="58" t="s">
        <v>316</v>
      </c>
    </row>
    <row r="15" customFormat="false" ht="15" hidden="false" customHeight="false" outlineLevel="0" collapsed="false">
      <c r="A15" s="58" t="n">
        <v>12</v>
      </c>
      <c r="B15" s="58" t="s">
        <v>317</v>
      </c>
      <c r="C15" s="58" t="s">
        <v>67</v>
      </c>
      <c r="D15" s="58" t="s">
        <v>289</v>
      </c>
      <c r="E15" s="66" t="s">
        <v>298</v>
      </c>
      <c r="F15" s="58" t="s">
        <v>291</v>
      </c>
      <c r="G15" s="58" t="s">
        <v>318</v>
      </c>
    </row>
    <row r="16" customFormat="false" ht="23.85" hidden="false" customHeight="false" outlineLevel="0" collapsed="false">
      <c r="A16" s="58" t="n">
        <v>13</v>
      </c>
      <c r="B16" s="58" t="s">
        <v>319</v>
      </c>
      <c r="C16" s="58" t="s">
        <v>68</v>
      </c>
      <c r="D16" s="58" t="s">
        <v>289</v>
      </c>
      <c r="E16" s="65" t="s">
        <v>290</v>
      </c>
      <c r="F16" s="58" t="s">
        <v>320</v>
      </c>
      <c r="G16" s="58" t="s">
        <v>321</v>
      </c>
    </row>
    <row r="17" customFormat="false" ht="15" hidden="false" customHeight="false" outlineLevel="0" collapsed="false">
      <c r="A17" s="58" t="n">
        <v>14</v>
      </c>
      <c r="B17" s="58" t="s">
        <v>322</v>
      </c>
      <c r="C17" s="58" t="s">
        <v>69</v>
      </c>
      <c r="D17" s="58" t="s">
        <v>323</v>
      </c>
      <c r="E17" s="65" t="s">
        <v>290</v>
      </c>
      <c r="F17" s="58" t="s">
        <v>304</v>
      </c>
      <c r="G17" s="58" t="s">
        <v>324</v>
      </c>
    </row>
    <row r="18" customFormat="false" ht="15" hidden="false" customHeight="false" outlineLevel="0" collapsed="false">
      <c r="A18" s="58" t="n">
        <v>15</v>
      </c>
      <c r="B18" s="58" t="s">
        <v>325</v>
      </c>
      <c r="C18" s="58" t="s">
        <v>70</v>
      </c>
      <c r="D18" s="58" t="s">
        <v>323</v>
      </c>
      <c r="E18" s="67" t="s">
        <v>326</v>
      </c>
      <c r="F18" s="58" t="s">
        <v>304</v>
      </c>
      <c r="G18" s="58" t="s">
        <v>327</v>
      </c>
    </row>
    <row r="19" customFormat="false" ht="35.05" hidden="false" customHeight="false" outlineLevel="0" collapsed="false">
      <c r="A19" s="58" t="n">
        <v>16</v>
      </c>
      <c r="B19" s="58" t="s">
        <v>328</v>
      </c>
      <c r="C19" s="58" t="s">
        <v>71</v>
      </c>
      <c r="D19" s="58" t="s">
        <v>323</v>
      </c>
      <c r="E19" s="65" t="s">
        <v>290</v>
      </c>
      <c r="F19" s="58" t="s">
        <v>329</v>
      </c>
      <c r="G19" s="58" t="s">
        <v>330</v>
      </c>
    </row>
    <row r="20" customFormat="false" ht="23.85" hidden="false" customHeight="false" outlineLevel="0" collapsed="false">
      <c r="A20" s="58" t="n">
        <v>17</v>
      </c>
      <c r="B20" s="58" t="s">
        <v>331</v>
      </c>
      <c r="C20" s="58" t="s">
        <v>72</v>
      </c>
      <c r="D20" s="58" t="s">
        <v>323</v>
      </c>
      <c r="E20" s="65" t="s">
        <v>290</v>
      </c>
      <c r="F20" s="58" t="s">
        <v>332</v>
      </c>
      <c r="G20" s="58" t="s">
        <v>333</v>
      </c>
    </row>
    <row r="21" customFormat="false" ht="15" hidden="false" customHeight="false" outlineLevel="0" collapsed="false">
      <c r="A21" s="58" t="n">
        <v>18</v>
      </c>
      <c r="B21" s="58" t="s">
        <v>334</v>
      </c>
      <c r="C21" s="58" t="s">
        <v>73</v>
      </c>
      <c r="D21" s="58" t="s">
        <v>323</v>
      </c>
      <c r="E21" s="65" t="s">
        <v>290</v>
      </c>
      <c r="F21" s="58" t="s">
        <v>320</v>
      </c>
      <c r="G21" s="58" t="s">
        <v>335</v>
      </c>
    </row>
    <row r="22" customFormat="false" ht="15" hidden="false" customHeight="false" outlineLevel="0" collapsed="false">
      <c r="A22" s="58" t="n">
        <v>19</v>
      </c>
      <c r="B22" s="58" t="s">
        <v>336</v>
      </c>
      <c r="C22" s="58" t="s">
        <v>74</v>
      </c>
      <c r="D22" s="58" t="s">
        <v>323</v>
      </c>
      <c r="E22" s="67" t="s">
        <v>326</v>
      </c>
      <c r="F22" s="58" t="s">
        <v>304</v>
      </c>
      <c r="G22" s="58" t="s">
        <v>337</v>
      </c>
    </row>
    <row r="23" customFormat="false" ht="15" hidden="false" customHeight="false" outlineLevel="0" collapsed="false">
      <c r="A23" s="58" t="n">
        <v>20</v>
      </c>
      <c r="B23" s="58" t="s">
        <v>338</v>
      </c>
      <c r="C23" s="58" t="s">
        <v>75</v>
      </c>
      <c r="D23" s="58" t="s">
        <v>323</v>
      </c>
      <c r="E23" s="66" t="s">
        <v>298</v>
      </c>
      <c r="F23" s="58" t="s">
        <v>304</v>
      </c>
      <c r="G23" s="58" t="s">
        <v>339</v>
      </c>
    </row>
    <row r="24" customFormat="false" ht="15" hidden="false" customHeight="false" outlineLevel="0" collapsed="false">
      <c r="A24" s="58" t="n">
        <v>21</v>
      </c>
      <c r="B24" s="58" t="s">
        <v>340</v>
      </c>
      <c r="C24" s="58" t="s">
        <v>76</v>
      </c>
      <c r="D24" s="58" t="s">
        <v>323</v>
      </c>
      <c r="E24" s="66" t="s">
        <v>298</v>
      </c>
      <c r="F24" s="58" t="s">
        <v>291</v>
      </c>
      <c r="G24" s="58" t="s">
        <v>341</v>
      </c>
    </row>
    <row r="25" customFormat="false" ht="23.85" hidden="false" customHeight="false" outlineLevel="0" collapsed="false">
      <c r="A25" s="58" t="n">
        <v>22</v>
      </c>
      <c r="B25" s="58" t="s">
        <v>342</v>
      </c>
      <c r="C25" s="58" t="s">
        <v>77</v>
      </c>
      <c r="D25" s="58" t="s">
        <v>323</v>
      </c>
      <c r="E25" s="65" t="s">
        <v>290</v>
      </c>
      <c r="F25" s="58" t="s">
        <v>343</v>
      </c>
      <c r="G25" s="58" t="s">
        <v>344</v>
      </c>
    </row>
    <row r="26" customFormat="false" ht="15" hidden="false" customHeight="false" outlineLevel="0" collapsed="false">
      <c r="A26" s="58" t="n">
        <v>23</v>
      </c>
      <c r="B26" s="58" t="s">
        <v>345</v>
      </c>
      <c r="C26" s="58" t="s">
        <v>78</v>
      </c>
      <c r="D26" s="58" t="s">
        <v>323</v>
      </c>
      <c r="E26" s="66" t="s">
        <v>298</v>
      </c>
      <c r="F26" s="58" t="s">
        <v>291</v>
      </c>
      <c r="G26" s="58" t="s">
        <v>346</v>
      </c>
    </row>
    <row r="27" customFormat="false" ht="15" hidden="false" customHeight="false" outlineLevel="0" collapsed="false">
      <c r="A27" s="58" t="n">
        <v>24</v>
      </c>
      <c r="B27" s="58" t="s">
        <v>347</v>
      </c>
      <c r="C27" s="58" t="s">
        <v>79</v>
      </c>
      <c r="D27" s="58" t="s">
        <v>323</v>
      </c>
      <c r="E27" s="65" t="s">
        <v>290</v>
      </c>
      <c r="F27" s="58" t="s">
        <v>348</v>
      </c>
      <c r="G27" s="58" t="s">
        <v>349</v>
      </c>
    </row>
    <row r="28" customFormat="false" ht="23.85" hidden="false" customHeight="false" outlineLevel="0" collapsed="false">
      <c r="A28" s="58" t="n">
        <v>25</v>
      </c>
      <c r="B28" s="58" t="s">
        <v>350</v>
      </c>
      <c r="C28" s="58" t="s">
        <v>80</v>
      </c>
      <c r="D28" s="58" t="s">
        <v>323</v>
      </c>
      <c r="E28" s="65" t="s">
        <v>290</v>
      </c>
      <c r="F28" s="58" t="s">
        <v>351</v>
      </c>
      <c r="G28" s="58" t="s">
        <v>352</v>
      </c>
    </row>
    <row r="29" customFormat="false" ht="15" hidden="false" customHeight="false" outlineLevel="0" collapsed="false">
      <c r="A29" s="58" t="n">
        <v>26</v>
      </c>
      <c r="B29" s="58" t="s">
        <v>353</v>
      </c>
      <c r="C29" s="58" t="s">
        <v>81</v>
      </c>
      <c r="D29" s="58" t="s">
        <v>323</v>
      </c>
      <c r="E29" s="66" t="s">
        <v>298</v>
      </c>
      <c r="F29" s="58" t="s">
        <v>291</v>
      </c>
      <c r="G29" s="58" t="s">
        <v>354</v>
      </c>
    </row>
    <row r="30" customFormat="false" ht="15" hidden="false" customHeight="false" outlineLevel="0" collapsed="false">
      <c r="A30" s="58" t="n">
        <v>27</v>
      </c>
      <c r="B30" s="58" t="s">
        <v>355</v>
      </c>
      <c r="C30" s="58" t="s">
        <v>82</v>
      </c>
      <c r="D30" s="58" t="s">
        <v>323</v>
      </c>
      <c r="E30" s="66" t="s">
        <v>298</v>
      </c>
      <c r="F30" s="58" t="s">
        <v>291</v>
      </c>
      <c r="G30" s="58" t="s">
        <v>356</v>
      </c>
    </row>
    <row r="31" customFormat="false" ht="15" hidden="false" customHeight="false" outlineLevel="0" collapsed="false">
      <c r="A31" s="58" t="n">
        <v>28</v>
      </c>
      <c r="B31" s="58" t="s">
        <v>357</v>
      </c>
      <c r="C31" s="58" t="s">
        <v>83</v>
      </c>
      <c r="D31" s="58" t="s">
        <v>358</v>
      </c>
      <c r="E31" s="65" t="s">
        <v>290</v>
      </c>
      <c r="F31" s="58" t="s">
        <v>359</v>
      </c>
      <c r="G31" s="58" t="s">
        <v>360</v>
      </c>
    </row>
    <row r="32" customFormat="false" ht="15" hidden="false" customHeight="false" outlineLevel="0" collapsed="false">
      <c r="A32" s="58" t="n">
        <v>29</v>
      </c>
      <c r="B32" s="58" t="s">
        <v>361</v>
      </c>
      <c r="C32" s="58" t="s">
        <v>84</v>
      </c>
      <c r="D32" s="58" t="s">
        <v>358</v>
      </c>
      <c r="E32" s="65" t="s">
        <v>290</v>
      </c>
      <c r="F32" s="58" t="s">
        <v>362</v>
      </c>
      <c r="G32" s="58" t="s">
        <v>363</v>
      </c>
    </row>
    <row r="33" customFormat="false" ht="15" hidden="false" customHeight="false" outlineLevel="0" collapsed="false">
      <c r="A33" s="58" t="n">
        <v>30</v>
      </c>
      <c r="B33" s="58" t="s">
        <v>364</v>
      </c>
      <c r="C33" s="58" t="s">
        <v>85</v>
      </c>
      <c r="D33" s="58" t="s">
        <v>358</v>
      </c>
      <c r="E33" s="65" t="s">
        <v>290</v>
      </c>
      <c r="F33" s="58" t="s">
        <v>362</v>
      </c>
      <c r="G33" s="58" t="s">
        <v>365</v>
      </c>
    </row>
    <row r="34" customFormat="false" ht="15" hidden="false" customHeight="false" outlineLevel="0" collapsed="false">
      <c r="A34" s="58" t="n">
        <v>31</v>
      </c>
      <c r="B34" s="58" t="s">
        <v>366</v>
      </c>
      <c r="C34" s="58" t="s">
        <v>86</v>
      </c>
      <c r="D34" s="58" t="s">
        <v>358</v>
      </c>
      <c r="E34" s="68" t="s">
        <v>367</v>
      </c>
      <c r="F34" s="58" t="s">
        <v>368</v>
      </c>
      <c r="G34" s="58" t="s">
        <v>369</v>
      </c>
    </row>
    <row r="35" customFormat="false" ht="15" hidden="false" customHeight="false" outlineLevel="0" collapsed="false">
      <c r="A35" s="58" t="n">
        <v>32</v>
      </c>
      <c r="B35" s="58" t="s">
        <v>370</v>
      </c>
      <c r="C35" s="58" t="s">
        <v>87</v>
      </c>
      <c r="D35" s="58" t="s">
        <v>358</v>
      </c>
      <c r="E35" s="68" t="s">
        <v>367</v>
      </c>
      <c r="F35" s="58" t="s">
        <v>368</v>
      </c>
      <c r="G35" s="58" t="s">
        <v>371</v>
      </c>
    </row>
    <row r="36" customFormat="false" ht="46.25" hidden="false" customHeight="false" outlineLevel="0" collapsed="false">
      <c r="A36" s="58" t="n">
        <v>33</v>
      </c>
      <c r="B36" s="58" t="s">
        <v>372</v>
      </c>
      <c r="C36" s="58" t="s">
        <v>88</v>
      </c>
      <c r="D36" s="58" t="s">
        <v>358</v>
      </c>
      <c r="E36" s="65" t="s">
        <v>290</v>
      </c>
      <c r="F36" s="58" t="s">
        <v>373</v>
      </c>
      <c r="G36" s="58" t="s">
        <v>374</v>
      </c>
    </row>
    <row r="37" customFormat="false" ht="15" hidden="false" customHeight="false" outlineLevel="0" collapsed="false">
      <c r="A37" s="58" t="n">
        <v>34</v>
      </c>
      <c r="B37" s="58" t="s">
        <v>375</v>
      </c>
      <c r="C37" s="58" t="s">
        <v>89</v>
      </c>
      <c r="D37" s="58" t="s">
        <v>358</v>
      </c>
      <c r="E37" s="65" t="s">
        <v>290</v>
      </c>
      <c r="F37" s="58" t="s">
        <v>320</v>
      </c>
      <c r="G37" s="58" t="s">
        <v>376</v>
      </c>
    </row>
    <row r="38" customFormat="false" ht="15" hidden="false" customHeight="false" outlineLevel="0" collapsed="false">
      <c r="A38" s="58" t="n">
        <v>35</v>
      </c>
      <c r="B38" s="58" t="s">
        <v>377</v>
      </c>
      <c r="C38" s="58" t="s">
        <v>90</v>
      </c>
      <c r="D38" s="58" t="s">
        <v>358</v>
      </c>
      <c r="E38" s="65" t="s">
        <v>290</v>
      </c>
      <c r="F38" s="58" t="s">
        <v>320</v>
      </c>
      <c r="G38" s="58" t="s">
        <v>378</v>
      </c>
    </row>
    <row r="39" customFormat="false" ht="15" hidden="false" customHeight="false" outlineLevel="0" collapsed="false">
      <c r="A39" s="58" t="n">
        <v>36</v>
      </c>
      <c r="B39" s="58" t="s">
        <v>379</v>
      </c>
      <c r="C39" s="58" t="s">
        <v>91</v>
      </c>
      <c r="D39" s="58" t="s">
        <v>358</v>
      </c>
      <c r="E39" s="67" t="s">
        <v>326</v>
      </c>
      <c r="F39" s="58" t="s">
        <v>362</v>
      </c>
      <c r="G39" s="58" t="s">
        <v>380</v>
      </c>
    </row>
    <row r="40" customFormat="false" ht="15" hidden="false" customHeight="false" outlineLevel="0" collapsed="false">
      <c r="A40" s="58" t="n">
        <v>37</v>
      </c>
      <c r="B40" s="58" t="s">
        <v>381</v>
      </c>
      <c r="C40" s="58" t="s">
        <v>92</v>
      </c>
      <c r="D40" s="58" t="s">
        <v>358</v>
      </c>
      <c r="E40" s="67" t="s">
        <v>326</v>
      </c>
      <c r="F40" s="58" t="s">
        <v>362</v>
      </c>
      <c r="G40" s="58" t="s">
        <v>382</v>
      </c>
    </row>
    <row r="41" customFormat="false" ht="35.05" hidden="false" customHeight="false" outlineLevel="0" collapsed="false">
      <c r="A41" s="58" t="n">
        <v>38</v>
      </c>
      <c r="B41" s="58" t="s">
        <v>383</v>
      </c>
      <c r="C41" s="58" t="s">
        <v>93</v>
      </c>
      <c r="D41" s="58" t="s">
        <v>358</v>
      </c>
      <c r="E41" s="65" t="s">
        <v>290</v>
      </c>
      <c r="F41" s="58" t="s">
        <v>384</v>
      </c>
      <c r="G41" s="58" t="s">
        <v>385</v>
      </c>
    </row>
    <row r="42" customFormat="false" ht="15" hidden="false" customHeight="false" outlineLevel="0" collapsed="false">
      <c r="A42" s="58" t="n">
        <v>39</v>
      </c>
      <c r="B42" s="58" t="s">
        <v>386</v>
      </c>
      <c r="C42" s="58" t="s">
        <v>94</v>
      </c>
      <c r="D42" s="58" t="s">
        <v>358</v>
      </c>
      <c r="E42" s="67" t="s">
        <v>326</v>
      </c>
      <c r="F42" s="58" t="s">
        <v>362</v>
      </c>
      <c r="G42" s="58" t="s">
        <v>387</v>
      </c>
    </row>
    <row r="43" customFormat="false" ht="23.85" hidden="false" customHeight="false" outlineLevel="0" collapsed="false">
      <c r="A43" s="58" t="n">
        <v>40</v>
      </c>
      <c r="B43" s="58" t="s">
        <v>388</v>
      </c>
      <c r="C43" s="58" t="s">
        <v>95</v>
      </c>
      <c r="D43" s="58" t="s">
        <v>358</v>
      </c>
      <c r="E43" s="65" t="s">
        <v>290</v>
      </c>
      <c r="F43" s="58" t="s">
        <v>320</v>
      </c>
      <c r="G43" s="58" t="s">
        <v>389</v>
      </c>
    </row>
    <row r="44" customFormat="false" ht="15" hidden="false" customHeight="false" outlineLevel="0" collapsed="false">
      <c r="A44" s="58" t="n">
        <v>41</v>
      </c>
      <c r="B44" s="58" t="s">
        <v>390</v>
      </c>
      <c r="C44" s="58" t="s">
        <v>96</v>
      </c>
      <c r="D44" s="58" t="s">
        <v>358</v>
      </c>
      <c r="E44" s="65" t="s">
        <v>290</v>
      </c>
      <c r="F44" s="58" t="s">
        <v>320</v>
      </c>
      <c r="G44" s="58" t="s">
        <v>391</v>
      </c>
    </row>
    <row r="45" customFormat="false" ht="15" hidden="false" customHeight="false" outlineLevel="0" collapsed="false">
      <c r="A45" s="58" t="n">
        <v>42</v>
      </c>
      <c r="B45" s="58" t="s">
        <v>392</v>
      </c>
      <c r="C45" s="58" t="s">
        <v>97</v>
      </c>
      <c r="D45" s="58" t="s">
        <v>358</v>
      </c>
      <c r="E45" s="65" t="s">
        <v>290</v>
      </c>
      <c r="F45" s="58" t="s">
        <v>320</v>
      </c>
      <c r="G45" s="58" t="s">
        <v>393</v>
      </c>
    </row>
    <row r="46" customFormat="false" ht="23.85" hidden="false" customHeight="false" outlineLevel="0" collapsed="false">
      <c r="A46" s="58" t="n">
        <v>43</v>
      </c>
      <c r="B46" s="58" t="s">
        <v>394</v>
      </c>
      <c r="C46" s="58" t="s">
        <v>98</v>
      </c>
      <c r="D46" s="58" t="s">
        <v>358</v>
      </c>
      <c r="E46" s="65" t="s">
        <v>290</v>
      </c>
      <c r="F46" s="58" t="s">
        <v>395</v>
      </c>
      <c r="G46" s="58" t="s">
        <v>396</v>
      </c>
    </row>
    <row r="47" customFormat="false" ht="15" hidden="false" customHeight="false" outlineLevel="0" collapsed="false">
      <c r="A47" s="58" t="n">
        <v>44</v>
      </c>
      <c r="B47" s="58" t="s">
        <v>397</v>
      </c>
      <c r="C47" s="58" t="s">
        <v>99</v>
      </c>
      <c r="D47" s="58" t="s">
        <v>358</v>
      </c>
      <c r="E47" s="66" t="s">
        <v>298</v>
      </c>
      <c r="F47" s="58" t="s">
        <v>362</v>
      </c>
      <c r="G47" s="58" t="s">
        <v>398</v>
      </c>
    </row>
    <row r="48" customFormat="false" ht="15" hidden="false" customHeight="false" outlineLevel="0" collapsed="false">
      <c r="A48" s="58" t="n">
        <v>45</v>
      </c>
      <c r="B48" s="58" t="s">
        <v>399</v>
      </c>
      <c r="C48" s="58" t="s">
        <v>100</v>
      </c>
      <c r="D48" s="58" t="s">
        <v>358</v>
      </c>
      <c r="E48" s="66" t="s">
        <v>298</v>
      </c>
      <c r="F48" s="58" t="s">
        <v>362</v>
      </c>
      <c r="G48" s="58" t="s">
        <v>400</v>
      </c>
    </row>
    <row r="49" customFormat="false" ht="15" hidden="false" customHeight="false" outlineLevel="0" collapsed="false">
      <c r="A49" s="58" t="n">
        <v>46</v>
      </c>
      <c r="B49" s="58" t="s">
        <v>401</v>
      </c>
      <c r="C49" s="58" t="s">
        <v>101</v>
      </c>
      <c r="D49" s="58" t="s">
        <v>358</v>
      </c>
      <c r="E49" s="66" t="s">
        <v>298</v>
      </c>
      <c r="F49" s="58" t="s">
        <v>304</v>
      </c>
      <c r="G49" s="58" t="s">
        <v>402</v>
      </c>
    </row>
    <row r="50" customFormat="false" ht="15" hidden="false" customHeight="false" outlineLevel="0" collapsed="false">
      <c r="A50" s="58" t="n">
        <v>47</v>
      </c>
      <c r="B50" s="58" t="s">
        <v>403</v>
      </c>
      <c r="C50" s="58" t="s">
        <v>102</v>
      </c>
      <c r="D50" s="58" t="s">
        <v>404</v>
      </c>
      <c r="E50" s="65" t="s">
        <v>290</v>
      </c>
      <c r="F50" s="58" t="s">
        <v>362</v>
      </c>
      <c r="G50" s="58" t="s">
        <v>405</v>
      </c>
    </row>
    <row r="51" customFormat="false" ht="15" hidden="false" customHeight="false" outlineLevel="0" collapsed="false">
      <c r="A51" s="58" t="n">
        <v>48</v>
      </c>
      <c r="B51" s="58" t="s">
        <v>406</v>
      </c>
      <c r="C51" s="58" t="s">
        <v>103</v>
      </c>
      <c r="D51" s="58" t="s">
        <v>404</v>
      </c>
      <c r="E51" s="68" t="s">
        <v>367</v>
      </c>
      <c r="F51" s="58" t="s">
        <v>368</v>
      </c>
      <c r="G51" s="58" t="s">
        <v>407</v>
      </c>
    </row>
    <row r="52" customFormat="false" ht="15" hidden="false" customHeight="false" outlineLevel="0" collapsed="false">
      <c r="A52" s="58" t="n">
        <v>49</v>
      </c>
      <c r="B52" s="58" t="s">
        <v>408</v>
      </c>
      <c r="C52" s="58" t="s">
        <v>104</v>
      </c>
      <c r="D52" s="58" t="s">
        <v>404</v>
      </c>
      <c r="E52" s="68" t="s">
        <v>367</v>
      </c>
      <c r="F52" s="58" t="s">
        <v>368</v>
      </c>
      <c r="G52" s="58" t="s">
        <v>409</v>
      </c>
    </row>
    <row r="53" customFormat="false" ht="15" hidden="false" customHeight="false" outlineLevel="0" collapsed="false">
      <c r="A53" s="58" t="n">
        <v>50</v>
      </c>
      <c r="B53" s="58" t="s">
        <v>410</v>
      </c>
      <c r="C53" s="58" t="s">
        <v>105</v>
      </c>
      <c r="D53" s="58" t="s">
        <v>404</v>
      </c>
      <c r="E53" s="66" t="s">
        <v>298</v>
      </c>
      <c r="F53" s="58" t="s">
        <v>362</v>
      </c>
      <c r="G53" s="58" t="s">
        <v>411</v>
      </c>
    </row>
    <row r="54" customFormat="false" ht="15" hidden="false" customHeight="false" outlineLevel="0" collapsed="false">
      <c r="A54" s="58" t="n">
        <v>51</v>
      </c>
      <c r="B54" s="58" t="s">
        <v>412</v>
      </c>
      <c r="C54" s="58" t="s">
        <v>106</v>
      </c>
      <c r="D54" s="58" t="s">
        <v>404</v>
      </c>
      <c r="E54" s="66" t="s">
        <v>298</v>
      </c>
      <c r="F54" s="58" t="s">
        <v>304</v>
      </c>
      <c r="G54" s="58" t="s">
        <v>413</v>
      </c>
    </row>
    <row r="55" customFormat="false" ht="15" hidden="false" customHeight="false" outlineLevel="0" collapsed="false">
      <c r="A55" s="58" t="n">
        <v>52</v>
      </c>
      <c r="B55" s="58" t="s">
        <v>414</v>
      </c>
      <c r="C55" s="58" t="s">
        <v>107</v>
      </c>
      <c r="D55" s="58" t="s">
        <v>404</v>
      </c>
      <c r="E55" s="68" t="s">
        <v>367</v>
      </c>
      <c r="F55" s="58" t="s">
        <v>368</v>
      </c>
      <c r="G55" s="58" t="s">
        <v>415</v>
      </c>
    </row>
    <row r="56" customFormat="false" ht="15" hidden="false" customHeight="false" outlineLevel="0" collapsed="false">
      <c r="A56" s="58" t="n">
        <v>53</v>
      </c>
      <c r="B56" s="58" t="s">
        <v>416</v>
      </c>
      <c r="C56" s="58" t="s">
        <v>108</v>
      </c>
      <c r="D56" s="58" t="s">
        <v>417</v>
      </c>
      <c r="E56" s="65" t="s">
        <v>290</v>
      </c>
      <c r="F56" s="58" t="s">
        <v>418</v>
      </c>
      <c r="G56" s="58" t="s">
        <v>419</v>
      </c>
    </row>
    <row r="57" customFormat="false" ht="15" hidden="false" customHeight="false" outlineLevel="0" collapsed="false">
      <c r="A57" s="58" t="n">
        <v>54</v>
      </c>
      <c r="B57" s="58" t="s">
        <v>420</v>
      </c>
      <c r="C57" s="58" t="s">
        <v>109</v>
      </c>
      <c r="D57" s="58" t="s">
        <v>417</v>
      </c>
      <c r="E57" s="67" t="s">
        <v>326</v>
      </c>
      <c r="F57" s="58" t="s">
        <v>362</v>
      </c>
      <c r="G57" s="58" t="s">
        <v>421</v>
      </c>
    </row>
    <row r="58" customFormat="false" ht="15" hidden="false" customHeight="false" outlineLevel="0" collapsed="false">
      <c r="A58" s="58" t="n">
        <v>55</v>
      </c>
      <c r="B58" s="58" t="s">
        <v>422</v>
      </c>
      <c r="C58" s="58" t="s">
        <v>110</v>
      </c>
      <c r="D58" s="58" t="s">
        <v>417</v>
      </c>
      <c r="E58" s="67" t="s">
        <v>326</v>
      </c>
      <c r="F58" s="58" t="s">
        <v>362</v>
      </c>
      <c r="G58" s="58" t="s">
        <v>423</v>
      </c>
    </row>
    <row r="59" customFormat="false" ht="15" hidden="false" customHeight="false" outlineLevel="0" collapsed="false">
      <c r="A59" s="58" t="n">
        <v>56</v>
      </c>
      <c r="B59" s="58" t="s">
        <v>424</v>
      </c>
      <c r="C59" s="58" t="s">
        <v>111</v>
      </c>
      <c r="D59" s="58" t="s">
        <v>417</v>
      </c>
      <c r="E59" s="68" t="s">
        <v>367</v>
      </c>
      <c r="F59" s="58" t="s">
        <v>368</v>
      </c>
      <c r="G59" s="58" t="s">
        <v>425</v>
      </c>
    </row>
    <row r="60" customFormat="false" ht="15" hidden="false" customHeight="false" outlineLevel="0" collapsed="false">
      <c r="A60" s="58" t="n">
        <v>57</v>
      </c>
      <c r="B60" s="58" t="s">
        <v>426</v>
      </c>
      <c r="C60" s="58" t="s">
        <v>112</v>
      </c>
      <c r="D60" s="58" t="s">
        <v>427</v>
      </c>
      <c r="E60" s="68" t="s">
        <v>367</v>
      </c>
      <c r="F60" s="58" t="s">
        <v>368</v>
      </c>
      <c r="G60" s="58" t="s">
        <v>428</v>
      </c>
    </row>
    <row r="61" customFormat="false" ht="15" hidden="false" customHeight="false" outlineLevel="0" collapsed="false">
      <c r="A61" s="58" t="n">
        <v>58</v>
      </c>
      <c r="B61" s="58" t="s">
        <v>429</v>
      </c>
      <c r="C61" s="58" t="s">
        <v>113</v>
      </c>
      <c r="D61" s="58" t="s">
        <v>427</v>
      </c>
      <c r="E61" s="68" t="s">
        <v>367</v>
      </c>
      <c r="F61" s="58" t="s">
        <v>368</v>
      </c>
      <c r="G61" s="58" t="s">
        <v>430</v>
      </c>
    </row>
    <row r="62" customFormat="false" ht="15" hidden="false" customHeight="false" outlineLevel="0" collapsed="false">
      <c r="A62" s="58" t="n">
        <v>59</v>
      </c>
      <c r="B62" s="58" t="s">
        <v>431</v>
      </c>
      <c r="C62" s="58" t="s">
        <v>114</v>
      </c>
      <c r="D62" s="58" t="s">
        <v>427</v>
      </c>
      <c r="E62" s="68" t="s">
        <v>367</v>
      </c>
      <c r="F62" s="58" t="s">
        <v>368</v>
      </c>
      <c r="G62" s="58" t="s">
        <v>432</v>
      </c>
    </row>
    <row r="63" customFormat="false" ht="15" hidden="false" customHeight="false" outlineLevel="0" collapsed="false">
      <c r="A63" s="58" t="n">
        <v>60</v>
      </c>
      <c r="B63" s="58" t="s">
        <v>433</v>
      </c>
      <c r="C63" s="58" t="s">
        <v>115</v>
      </c>
      <c r="D63" s="58" t="s">
        <v>427</v>
      </c>
      <c r="E63" s="66" t="s">
        <v>298</v>
      </c>
      <c r="F63" s="58" t="s">
        <v>291</v>
      </c>
      <c r="G63" s="58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2026-10-28T07:58:46Z</dcterms:created>
  <dc:creator>openpyxl</dc:creator>
  <dc:description/>
  <dc:language>en-US</dc:language>
  <cp:lastModifiedBy/>
  <dcterms:modified xsi:type="dcterms:W3CDTF">2026-10-28T07:58:47Z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